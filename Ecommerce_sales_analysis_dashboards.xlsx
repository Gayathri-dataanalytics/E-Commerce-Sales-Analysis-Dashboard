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24226"/>
  <mc:AlternateContent xmlns:mc="http://schemas.openxmlformats.org/markup-compatibility/2006">
    <mc:Choice Requires="x15">
      <x15ac:absPath xmlns:x15ac="http://schemas.microsoft.com/office/spreadsheetml/2010/11/ac" url="C:\Users\gayu\Documents\"/>
    </mc:Choice>
  </mc:AlternateContent>
  <xr:revisionPtr revIDLastSave="0" documentId="8_{BB585DAD-AE55-4D4A-987A-570DBFD72FDF}" xr6:coauthVersionLast="47" xr6:coauthVersionMax="47" xr10:uidLastSave="{00000000-0000-0000-0000-000000000000}"/>
  <bookViews>
    <workbookView xWindow="-108" yWindow="-108" windowWidth="23256" windowHeight="12456" firstSheet="4" activeTab="10" xr2:uid="{00000000-000D-0000-FFFF-FFFF00000000}"/>
  </bookViews>
  <sheets>
    <sheet name="Sheet3" sheetId="3" r:id="rId1"/>
    <sheet name="Sheet4" sheetId="4" r:id="rId2"/>
    <sheet name="Sheet5" sheetId="5" r:id="rId3"/>
    <sheet name="Sheet7" sheetId="7" r:id="rId4"/>
    <sheet name="Sheet8" sheetId="8" r:id="rId5"/>
    <sheet name="Sheet9" sheetId="9" r:id="rId6"/>
    <sheet name="Sheet10" sheetId="10" r:id="rId7"/>
    <sheet name="Sheet11" sheetId="11" r:id="rId8"/>
    <sheet name="Sheet12" sheetId="12" r:id="rId9"/>
    <sheet name="Sheet13" sheetId="13" r:id="rId10"/>
    <sheet name="Dashboard" sheetId="14" r:id="rId11"/>
    <sheet name="Sheet1" sheetId="1" r:id="rId12"/>
  </sheets>
  <externalReferences>
    <externalReference r:id="rId13"/>
  </externalReferences>
  <definedNames>
    <definedName name="Slicer_Category">#N/A</definedName>
    <definedName name="Slicer_City">#N/A</definedName>
    <definedName name="Slicer_Payment_Method">#N/A</definedName>
  </definedNames>
  <calcPr calcId="191029"/>
  <pivotCaches>
    <pivotCache cacheId="1"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14" l="1"/>
  <c r="A4" i="14"/>
  <c r="N16" i="1"/>
  <c r="N12" i="1"/>
  <c r="N10" i="1"/>
  <c r="N7" i="1"/>
</calcChain>
</file>

<file path=xl/sharedStrings.xml><?xml version="1.0" encoding="utf-8"?>
<sst xmlns="http://schemas.openxmlformats.org/spreadsheetml/2006/main" count="1198" uniqueCount="260">
  <si>
    <t>Order_ID</t>
  </si>
  <si>
    <t>Order_Date</t>
  </si>
  <si>
    <t>Product</t>
  </si>
  <si>
    <t>Category</t>
  </si>
  <si>
    <t>Quantity</t>
  </si>
  <si>
    <t>Unit_Price</t>
  </si>
  <si>
    <t>Customer</t>
  </si>
  <si>
    <t>City</t>
  </si>
  <si>
    <t>Payment_Method</t>
  </si>
  <si>
    <t>Order_Status</t>
  </si>
  <si>
    <t>Sales</t>
  </si>
  <si>
    <t>ORD0001</t>
  </si>
  <si>
    <t>ORD0002</t>
  </si>
  <si>
    <t>ORD0003</t>
  </si>
  <si>
    <t>ORD0004</t>
  </si>
  <si>
    <t>ORD0005</t>
  </si>
  <si>
    <t>ORD0006</t>
  </si>
  <si>
    <t>ORD0007</t>
  </si>
  <si>
    <t>ORD0008</t>
  </si>
  <si>
    <t>ORD0009</t>
  </si>
  <si>
    <t>ORD0010</t>
  </si>
  <si>
    <t>ORD0011</t>
  </si>
  <si>
    <t>ORD0012</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</si>
  <si>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</si>
  <si>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</si>
  <si>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</si>
  <si>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</si>
  <si>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</si>
  <si>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</si>
  <si>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</si>
  <si>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</si>
  <si>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</si>
  <si>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</si>
  <si>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</si>
  <si>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</si>
  <si>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</si>
  <si>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</si>
  <si>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</si>
  <si>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</si>
  <si>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</si>
  <si>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</si>
  <si>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</si>
  <si>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</si>
  <si>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</si>
  <si>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</si>
  <si>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</si>
  <si>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</si>
  <si>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</si>
  <si>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</si>
  <si>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</si>
  <si>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</si>
  <si>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</si>
  <si>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</si>
  <si>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</si>
  <si>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</si>
  <si>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</si>
  <si>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</si>
  <si>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</si>
  <si>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</si>
  <si>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</si>
  <si>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</si>
  <si>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</si>
  <si>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</si>
  <si>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</si>
  <si>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</si>
  <si>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</si>
  <si>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</si>
  <si>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</si>
  <si>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</si>
  <si>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</si>
  <si>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</si>
  <si>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</si>
  <si>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</si>
  <si>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</si>
  <si>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</si>
  <si>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</si>
  <si>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</si>
  <si>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</si>
  <si>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</si>
  <si>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</si>
  <si>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</si>
  <si>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</si>
  <si>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</si>
  <si>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</si>
  <si>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</si>
  <si>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</si>
  <si>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</si>
  <si>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</si>
  <si>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</si>
  <si>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</si>
  <si>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</si>
  <si>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</si>
  <si>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</si>
  <si>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</si>
  <si>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</si>
  <si>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</si>
  <si>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</si>
  <si>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</si>
  <si>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</si>
  <si>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</si>
  <si>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</si>
  <si>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</si>
  <si>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</si>
  <si>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</si>
  <si>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</si>
  <si>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</si>
  <si>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</si>
  <si>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</si>
  <si>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</si>
  <si>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</si>
  <si>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</si>
  <si>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</si>
  <si>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</si>
  <si>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</si>
  <si>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</si>
  <si>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</si>
  <si>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</si>
  <si>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</si>
  <si>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</si>
  <si>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</si>
  <si>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</si>
  <si>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</si>
  <si>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</si>
  <si>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</si>
  <si>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</si>
  <si>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</si>
  <si>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</si>
  <si>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</si>
  <si>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</si>
  <si>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</si>
  <si>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</si>
  <si>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</si>
  <si>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</si>
  <si>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</si>
  <si>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</si>
  <si>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</si>
  <si>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</si>
  <si>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</si>
  <si>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</si>
  <si>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</si>
  <si>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</si>
  <si>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</si>
  <si>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</si>
  <si>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</si>
  <si>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</si>
  <si>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</si>
  <si>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</si>
  <si>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</si>
  <si>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</si>
  <si>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</si>
  <si>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</si>
  <si>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</si>
  <si>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</si>
  <si>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</si>
  <si>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</si>
  <si>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</si>
  <si>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</si>
  <si>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</si>
  <si>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</si>
  <si>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</si>
  <si>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</si>
  <si>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Coffee Maker</t>
  </si>
  <si>
    <t>Mixer Grinder</t>
  </si>
  <si>
    <t>Laptop</t>
  </si>
  <si>
    <t>Wireless Mouse</t>
  </si>
  <si>
    <t>Jeans</t>
  </si>
  <si>
    <t>Headphones</t>
  </si>
  <si>
    <t>Bedsheet</t>
  </si>
  <si>
    <t>Backpack</t>
  </si>
  <si>
    <t>Smartphone</t>
  </si>
  <si>
    <t>T-Shirt</t>
  </si>
  <si>
    <t>Table Lamp</t>
  </si>
  <si>
    <t>Water Bottle</t>
  </si>
  <si>
    <t>Sneakers</t>
  </si>
  <si>
    <t>Watch</t>
  </si>
  <si>
    <t>Keyboard</t>
  </si>
  <si>
    <t>Home &amp; Kitchen</t>
  </si>
  <si>
    <t>Electronics</t>
  </si>
  <si>
    <t>Fashion</t>
  </si>
  <si>
    <t>Customer 018</t>
  </si>
  <si>
    <t>Customer 035</t>
  </si>
  <si>
    <t>Customer 033</t>
  </si>
  <si>
    <t>Customer 038</t>
  </si>
  <si>
    <t>Customer 010</t>
  </si>
  <si>
    <t>Customer 023</t>
  </si>
  <si>
    <t>Customer 036</t>
  </si>
  <si>
    <t>Customer 015</t>
  </si>
  <si>
    <t>Customer 030</t>
  </si>
  <si>
    <t>Customer 045</t>
  </si>
  <si>
    <t>Customer 025</t>
  </si>
  <si>
    <t>Customer 021</t>
  </si>
  <si>
    <t>Customer 032</t>
  </si>
  <si>
    <t>Customer 011</t>
  </si>
  <si>
    <t>Customer 008</t>
  </si>
  <si>
    <t>Customer 049</t>
  </si>
  <si>
    <t>Customer 024</t>
  </si>
  <si>
    <t>Customer 017</t>
  </si>
  <si>
    <t>Customer 043</t>
  </si>
  <si>
    <t>Customer 005</t>
  </si>
  <si>
    <t>Customer 001</t>
  </si>
  <si>
    <t>Customer 047</t>
  </si>
  <si>
    <t>Customer 007</t>
  </si>
  <si>
    <t>Customer 042</t>
  </si>
  <si>
    <t>Customer 013</t>
  </si>
  <si>
    <t>Customer 016</t>
  </si>
  <si>
    <t>Customer 026</t>
  </si>
  <si>
    <t>Customer 019</t>
  </si>
  <si>
    <t>Customer 027</t>
  </si>
  <si>
    <t>Customer 040</t>
  </si>
  <si>
    <t>Customer 020</t>
  </si>
  <si>
    <t>Customer 044</t>
  </si>
  <si>
    <t>Customer 028</t>
  </si>
  <si>
    <t>Customer 003</t>
  </si>
  <si>
    <t>Customer 048</t>
  </si>
  <si>
    <t>Customer 039</t>
  </si>
  <si>
    <t>Customer 031</t>
  </si>
  <si>
    <t>Customer 009</t>
  </si>
  <si>
    <t>Customer 050</t>
  </si>
  <si>
    <t>Customer 014</t>
  </si>
  <si>
    <t>Customer 006</t>
  </si>
  <si>
    <t>Customer 034</t>
  </si>
  <si>
    <t>Customer 004</t>
  </si>
  <si>
    <t>Customer 012</t>
  </si>
  <si>
    <t>Customer 041</t>
  </si>
  <si>
    <t>Customer 037</t>
  </si>
  <si>
    <t>Customer 022</t>
  </si>
  <si>
    <t>Customer 046</t>
  </si>
  <si>
    <t>Trichy</t>
  </si>
  <si>
    <t>Coimbatore</t>
  </si>
  <si>
    <t>Chennai</t>
  </si>
  <si>
    <t>Salem</t>
  </si>
  <si>
    <t>Bangalore</t>
  </si>
  <si>
    <t>Hyderabad</t>
  </si>
  <si>
    <t>Kochi</t>
  </si>
  <si>
    <t>Madurai</t>
  </si>
  <si>
    <t>Credit Card</t>
  </si>
  <si>
    <t>Cash on Delivery</t>
  </si>
  <si>
    <t>UPI</t>
  </si>
  <si>
    <t>Debit Card</t>
  </si>
  <si>
    <t>Delivered</t>
  </si>
  <si>
    <t>Returned</t>
  </si>
  <si>
    <t>Cancelled</t>
  </si>
  <si>
    <t>total sales</t>
  </si>
  <si>
    <t>quantity</t>
  </si>
  <si>
    <t>average order value</t>
  </si>
  <si>
    <t>Row Labels</t>
  </si>
  <si>
    <t>Grand Total</t>
  </si>
  <si>
    <t>Sum of Sales</t>
  </si>
  <si>
    <t>Jan</t>
  </si>
  <si>
    <t>Feb</t>
  </si>
  <si>
    <t>Mar</t>
  </si>
  <si>
    <t>Apr</t>
  </si>
  <si>
    <t>May</t>
  </si>
  <si>
    <t>Jun</t>
  </si>
  <si>
    <t>Sum of Quantity</t>
  </si>
  <si>
    <t>Total orders</t>
  </si>
  <si>
    <t>Average order value</t>
  </si>
  <si>
    <t>Total sales</t>
  </si>
  <si>
    <t>E-COMMERCE SALES DASHBOARD</t>
  </si>
  <si>
    <t>Total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</si>
</sst>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yyyy\-mm\-dd"/>
    <numFmt numFmtId="165" formatCode="[$-409]d\-mmm;@"/>
    <numFmt numFmtId="166" formatCode="\₹#,##0.00"/>
  </numFmts>
  <fonts count="9" x14ac:knownFonts="1">
    <font>
      <sz val="11"/>
      <color theme="1"/>
      <name val="Calibri"/>
      <family val="2"/>
      <scheme val="minor"/>
    </font>
    <font>
      <b/>
      <sz val="11"/>
      <color theme="1"/>
      <name val="Calibri"/>
      <family val="2"/>
      <scheme val="minor"/>
    </font>
    <font>
      <sz val="11"/>
      <color theme="1"/>
      <name val="Calibri"/>
      <family val="2"/>
      <scheme val="minor"/>
    </font>
    <font>
      <b/>
      <sz val="14"/>
      <color theme="1"/>
      <name val="Calibri"/>
      <family val="2"/>
      <scheme val="minor"/>
    </font>
    <font>
      <sz val="16"/>
      <color theme="1"/>
      <name val="Calibri"/>
      <family val="2"/>
      <scheme val="minor"/>
    </font>
    <font>
      <b/>
      <sz val="20"/>
      <color theme="1"/>
      <name val="Calibri"/>
      <family val="2"/>
      <scheme val="minor"/>
    </font>
    <font>
      <b/>
      <sz val="20"/>
      <color theme="7" tint="-0.499984740745262"/>
      <name val="Calibri"/>
      <family val="2"/>
      <scheme val="minor"/>
    </font>
    <font>
      <sz val="20"/>
      <color theme="7" tint="-0.499984740745262"/>
      <name val="Calibri"/>
      <family val="2"/>
      <scheme val="minor"/>
    </font>
    <font>
      <sz val="20"/>
      <color theme="1"/>
      <name val="Calibri"/>
      <family val="2"/>
      <scheme val="minor"/>
    </font>
  </fonts>
  <fills count="4">
    <fill>
      <patternFill patternType="none"/>
    </fill>
    <fill>
      <patternFill patternType="gray125"/>
    </fill>
    <fill>
      <patternFill patternType="solid">
        <fgColor theme="7" tint="0.39997558519241921"/>
        <bgColor indexed="64"/>
      </patternFill>
    </fill>
    <fill>
      <patternFill patternType="solid">
        <fgColor theme="7"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43" fontId="2" fillId="0" borderId="0" applyFont="0" applyFill="0" applyBorder="0" applyAlignment="0" applyProtection="0"/>
  </cellStyleXfs>
  <cellXfs count="23">
    <xf numFmtId="0" fontId="0" fillId="0" borderId="0" xfId="0"/>
    <xf numFmtId="0" fontId="1" fillId="0" borderId="1" xfId="0" applyFont="1" applyBorder="1" applyAlignment="1">
      <alignment horizontal="center" vertical="top"/>
    </xf>
    <xf numFmtId="164" fontId="0" fillId="0" borderId="0" xfId="0" applyNumberFormat="1"/>
    <xf numFmtId="165" fontId="1" fillId="0" borderId="1" xfId="0" applyNumberFormat="1" applyFont="1" applyBorder="1" applyAlignment="1">
      <alignment horizontal="center" vertical="top"/>
    </xf>
    <xf numFmtId="43" fontId="1" fillId="0" borderId="1" xfId="1" applyFont="1" applyBorder="1" applyAlignment="1">
      <alignment horizontal="center" vertical="top"/>
    </xf>
    <xf numFmtId="0" fontId="0" fillId="0" borderId="0" xfId="0" pivotButton="1"/>
    <xf numFmtId="0" fontId="0" fillId="0" borderId="0" xfId="0" applyAlignment="1">
      <alignment horizontal="left"/>
    </xf>
    <xf numFmtId="0" fontId="3" fillId="2" borderId="2" xfId="0" applyFont="1" applyFill="1" applyBorder="1" applyAlignment="1">
      <alignment horizontal="center"/>
    </xf>
    <xf numFmtId="166" fontId="4" fillId="2" borderId="3" xfId="0" applyNumberFormat="1" applyFont="1" applyFill="1" applyBorder="1"/>
    <xf numFmtId="0" fontId="3" fillId="2" borderId="3" xfId="0" applyFont="1" applyFill="1" applyBorder="1" applyAlignment="1">
      <alignment horizontal="center"/>
    </xf>
    <xf numFmtId="0" fontId="3" fillId="2" borderId="2" xfId="0" applyFont="1" applyFill="1" applyBorder="1"/>
    <xf numFmtId="2" fontId="4" fillId="2" borderId="3" xfId="0" applyNumberFormat="1" applyFont="1" applyFill="1" applyBorder="1" applyAlignment="1">
      <alignment horizontal="center"/>
    </xf>
    <xf numFmtId="0" fontId="4" fillId="2" borderId="3" xfId="0" applyFont="1" applyFill="1" applyBorder="1" applyAlignment="1">
      <alignment horizontal="center"/>
    </xf>
    <xf numFmtId="0" fontId="0" fillId="3" borderId="0" xfId="0" applyFill="1"/>
    <xf numFmtId="0" fontId="5" fillId="3" borderId="0" xfId="0" applyFont="1" applyFill="1" applyAlignment="1">
      <alignment horizontal="center"/>
    </xf>
    <xf numFmtId="0" fontId="0" fillId="3" borderId="0" xfId="0" applyFill="1" applyAlignment="1">
      <alignment vertical="center"/>
    </xf>
    <xf numFmtId="0" fontId="6" fillId="3" borderId="0" xfId="0" applyFont="1" applyFill="1"/>
    <xf numFmtId="0" fontId="5" fillId="3" borderId="0" xfId="0" applyFont="1" applyFill="1"/>
    <xf numFmtId="0" fontId="3" fillId="3" borderId="0" xfId="0" applyFont="1" applyFill="1" applyAlignment="1">
      <alignment horizontal="center"/>
    </xf>
    <xf numFmtId="0" fontId="0" fillId="3" borderId="0" xfId="0" applyFill="1" applyAlignment="1">
      <alignment horizontal="right"/>
    </xf>
    <xf numFmtId="0" fontId="7" fillId="3" borderId="0" xfId="0" applyFont="1" applyFill="1"/>
    <xf numFmtId="0" fontId="8" fillId="3" borderId="0" xfId="0" applyFont="1" applyFill="1"/>
    <xf numFmtId="0" fontId="0" fillId="0" borderId="0" xfId="0" applyNumberFormat="1"/>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[Ecommerce_sales_analysis_dashboards.xlsx]Sheet5!PivotTable2</c:name>
    <c:fmtId val="1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Sales Trend</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Sheet5!$A$4:$A$10</c:f>
              <c:strCache>
                <c:ptCount val="6"/>
                <c:pt idx="0">
                  <c:v>Jan</c:v>
                </c:pt>
                <c:pt idx="1">
                  <c:v>Feb</c:v>
                </c:pt>
                <c:pt idx="2">
                  <c:v>Mar</c:v>
                </c:pt>
                <c:pt idx="3">
                  <c:v>Apr</c:v>
                </c:pt>
                <c:pt idx="4">
                  <c:v>May</c:v>
                </c:pt>
                <c:pt idx="5">
                  <c:v>Jun</c:v>
                </c:pt>
              </c:strCache>
            </c:strRef>
          </c:cat>
          <c:val>
            <c:numRef>
              <c:f>Sheet5!$B$4:$B$10</c:f>
              <c:numCache>
                <c:formatCode>General</c:formatCode>
                <c:ptCount val="6"/>
                <c:pt idx="0">
                  <c:v>173000</c:v>
                </c:pt>
                <c:pt idx="1">
                  <c:v>339500</c:v>
                </c:pt>
                <c:pt idx="2">
                  <c:v>626700</c:v>
                </c:pt>
                <c:pt idx="3">
                  <c:v>285500</c:v>
                </c:pt>
                <c:pt idx="4">
                  <c:v>832000</c:v>
                </c:pt>
                <c:pt idx="5">
                  <c:v>241500</c:v>
                </c:pt>
              </c:numCache>
            </c:numRef>
          </c:val>
          <c:smooth val="0"/>
          <c:extLst>
            <c:ext xmlns:c16="http://schemas.microsoft.com/office/drawing/2014/chart" uri="{C3380CC4-5D6E-409C-BE32-E72D297353CC}">
              <c16:uniqueId val="{00000000-DAB1-4C3B-9239-2576E74C806E}"/>
            </c:ext>
          </c:extLst>
        </c:ser>
        <c:dLbls>
          <c:showLegendKey val="0"/>
          <c:showVal val="0"/>
          <c:showCatName val="0"/>
          <c:showSerName val="0"/>
          <c:showPercent val="0"/>
          <c:showBubbleSize val="0"/>
        </c:dLbls>
        <c:marker val="1"/>
        <c:smooth val="0"/>
        <c:axId val="845034832"/>
        <c:axId val="703069008"/>
      </c:lineChart>
      <c:catAx>
        <c:axId val="84503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069008"/>
        <c:crosses val="autoZero"/>
        <c:auto val="1"/>
        <c:lblAlgn val="ctr"/>
        <c:lblOffset val="100"/>
        <c:noMultiLvlLbl val="0"/>
      </c:catAx>
      <c:valAx>
        <c:axId val="703069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034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[Ecommerce_sales_analysis_dashboards.xlsx]Sheet9!PivotTable6</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 Sales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c:f>
              <c:strCache>
                <c:ptCount val="1"/>
                <c:pt idx="0">
                  <c:v>Total</c:v>
                </c:pt>
              </c:strCache>
            </c:strRef>
          </c:tx>
          <c:spPr>
            <a:solidFill>
              <a:schemeClr val="accent4"/>
            </a:solidFill>
            <a:ln>
              <a:noFill/>
            </a:ln>
            <a:effectLst/>
          </c:spPr>
          <c:invertIfNegative val="0"/>
          <c:cat>
            <c:strRef>
              <c:f>Sheet9!$A$4:$A$7</c:f>
              <c:strCache>
                <c:ptCount val="3"/>
                <c:pt idx="0">
                  <c:v>Electronics</c:v>
                </c:pt>
                <c:pt idx="1">
                  <c:v>Fashion</c:v>
                </c:pt>
                <c:pt idx="2">
                  <c:v>Home &amp; Kitchen</c:v>
                </c:pt>
              </c:strCache>
            </c:strRef>
          </c:cat>
          <c:val>
            <c:numRef>
              <c:f>Sheet9!$B$4:$B$7</c:f>
              <c:numCache>
                <c:formatCode>General</c:formatCode>
                <c:ptCount val="3"/>
                <c:pt idx="0">
                  <c:v>1938400</c:v>
                </c:pt>
                <c:pt idx="1">
                  <c:v>266500</c:v>
                </c:pt>
                <c:pt idx="2">
                  <c:v>293300</c:v>
                </c:pt>
              </c:numCache>
            </c:numRef>
          </c:val>
          <c:extLst>
            <c:ext xmlns:c16="http://schemas.microsoft.com/office/drawing/2014/chart" uri="{C3380CC4-5D6E-409C-BE32-E72D297353CC}">
              <c16:uniqueId val="{00000000-11C7-4DF7-A76C-D8F4D4A4646D}"/>
            </c:ext>
          </c:extLst>
        </c:ser>
        <c:dLbls>
          <c:showLegendKey val="0"/>
          <c:showVal val="0"/>
          <c:showCatName val="0"/>
          <c:showSerName val="0"/>
          <c:showPercent val="0"/>
          <c:showBubbleSize val="0"/>
        </c:dLbls>
        <c:gapWidth val="219"/>
        <c:overlap val="-27"/>
        <c:axId val="179913040"/>
        <c:axId val="19163184"/>
      </c:barChart>
      <c:catAx>
        <c:axId val="17991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3184"/>
        <c:crosses val="autoZero"/>
        <c:auto val="1"/>
        <c:lblAlgn val="ctr"/>
        <c:lblOffset val="100"/>
        <c:noMultiLvlLbl val="0"/>
      </c:catAx>
      <c:valAx>
        <c:axId val="19163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13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[Ecommerce_sales_analysis_dashboards.xlsx]Sheet12!PivotTable9</c:name>
    <c:fmtId val="2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1"/>
              <a:t>Order Status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25812331681925565"/>
          <c:y val="0.14212932350692842"/>
          <c:w val="0.41142813651524501"/>
          <c:h val="0.77922549287411336"/>
        </c:manualLayout>
      </c:layout>
      <c:pieChart>
        <c:varyColors val="1"/>
        <c:ser>
          <c:idx val="0"/>
          <c:order val="0"/>
          <c:tx>
            <c:strRef>
              <c:f>Sheet12!$B$3</c:f>
              <c:strCache>
                <c:ptCount val="1"/>
                <c:pt idx="0">
                  <c:v>Total</c:v>
                </c:pt>
              </c:strCache>
            </c:strRef>
          </c:tx>
          <c:explosion val="22"/>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E34-4D6A-98DA-BDE41EF0830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E34-4D6A-98DA-BDE41EF0830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E34-4D6A-98DA-BDE41EF08304}"/>
              </c:ext>
            </c:extLst>
          </c:dPt>
          <c:cat>
            <c:strRef>
              <c:f>Sheet12!$A$4:$A$7</c:f>
              <c:strCache>
                <c:ptCount val="3"/>
                <c:pt idx="0">
                  <c:v>Delivered</c:v>
                </c:pt>
                <c:pt idx="1">
                  <c:v>Returned</c:v>
                </c:pt>
                <c:pt idx="2">
                  <c:v>Cancelled</c:v>
                </c:pt>
              </c:strCache>
            </c:strRef>
          </c:cat>
          <c:val>
            <c:numRef>
              <c:f>Sheet12!$B$4:$B$7</c:f>
              <c:numCache>
                <c:formatCode>General</c:formatCode>
                <c:ptCount val="3"/>
                <c:pt idx="0">
                  <c:v>1860600</c:v>
                </c:pt>
                <c:pt idx="1">
                  <c:v>348100</c:v>
                </c:pt>
                <c:pt idx="2">
                  <c:v>289500</c:v>
                </c:pt>
              </c:numCache>
            </c:numRef>
          </c:val>
          <c:extLst>
            <c:ext xmlns:c16="http://schemas.microsoft.com/office/drawing/2014/chart" uri="{C3380CC4-5D6E-409C-BE32-E72D297353CC}">
              <c16:uniqueId val="{00000006-6E34-4D6A-98DA-BDE41EF0830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[Ecommerce_sales_analysis_dashboards.xlsx]Sheet10!PivotTable7</c:name>
    <c:fmtId val="2"/>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Top 5 Cities by Sales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Sheet10!$B$3</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Sheet10!$A$4:$A$12</c:f>
              <c:strCache>
                <c:ptCount val="8"/>
                <c:pt idx="0">
                  <c:v>Chennai</c:v>
                </c:pt>
                <c:pt idx="1">
                  <c:v>Hyderabad</c:v>
                </c:pt>
                <c:pt idx="2">
                  <c:v>Kochi</c:v>
                </c:pt>
                <c:pt idx="3">
                  <c:v>Trichy</c:v>
                </c:pt>
                <c:pt idx="4">
                  <c:v>Bangalore</c:v>
                </c:pt>
                <c:pt idx="5">
                  <c:v>Salem</c:v>
                </c:pt>
                <c:pt idx="6">
                  <c:v>Coimbatore</c:v>
                </c:pt>
                <c:pt idx="7">
                  <c:v>Madurai</c:v>
                </c:pt>
              </c:strCache>
            </c:strRef>
          </c:cat>
          <c:val>
            <c:numRef>
              <c:f>Sheet10!$B$4:$B$12</c:f>
              <c:numCache>
                <c:formatCode>General</c:formatCode>
                <c:ptCount val="8"/>
                <c:pt idx="0">
                  <c:v>446400</c:v>
                </c:pt>
                <c:pt idx="1">
                  <c:v>439300</c:v>
                </c:pt>
                <c:pt idx="2">
                  <c:v>428200</c:v>
                </c:pt>
                <c:pt idx="3">
                  <c:v>392200</c:v>
                </c:pt>
                <c:pt idx="4">
                  <c:v>357600</c:v>
                </c:pt>
                <c:pt idx="5">
                  <c:v>171800</c:v>
                </c:pt>
                <c:pt idx="6">
                  <c:v>161200</c:v>
                </c:pt>
                <c:pt idx="7">
                  <c:v>101500</c:v>
                </c:pt>
              </c:numCache>
            </c:numRef>
          </c:val>
          <c:extLst>
            <c:ext xmlns:c16="http://schemas.microsoft.com/office/drawing/2014/chart" uri="{C3380CC4-5D6E-409C-BE32-E72D297353CC}">
              <c16:uniqueId val="{00000000-9363-4EBE-A70C-CEE67D7D3F85}"/>
            </c:ext>
          </c:extLst>
        </c:ser>
        <c:dLbls>
          <c:dLblPos val="inEnd"/>
          <c:showLegendKey val="0"/>
          <c:showVal val="1"/>
          <c:showCatName val="0"/>
          <c:showSerName val="0"/>
          <c:showPercent val="0"/>
          <c:showBubbleSize val="0"/>
        </c:dLbls>
        <c:gapWidth val="65"/>
        <c:axId val="740293040"/>
        <c:axId val="19169424"/>
      </c:barChart>
      <c:catAx>
        <c:axId val="74029304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169424"/>
        <c:crosses val="autoZero"/>
        <c:auto val="1"/>
        <c:lblAlgn val="ctr"/>
        <c:lblOffset val="100"/>
        <c:noMultiLvlLbl val="0"/>
      </c:catAx>
      <c:valAx>
        <c:axId val="1916942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40293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[Ecommerce_sales_analysis_dashboards.xlsx]Sheet11!PivotTable8</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by Payment Method</a:t>
            </a:r>
            <a:endParaRPr lang="en-US" b="1"/>
          </a:p>
        </c:rich>
      </c:tx>
      <c:layout>
        <c:manualLayout>
          <c:xMode val="edge"/>
          <c:yMode val="edge"/>
          <c:x val="0.27464715173865212"/>
          <c:y val="3.585941039568835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manualLayout>
          <c:layoutTarget val="inner"/>
          <c:xMode val="edge"/>
          <c:yMode val="edge"/>
          <c:x val="0.2447705044120829"/>
          <c:y val="0.16673611951266509"/>
          <c:w val="0.39800678949827906"/>
          <c:h val="0.75447022989064383"/>
        </c:manualLayout>
      </c:layout>
      <c:doughnutChart>
        <c:varyColors val="1"/>
        <c:ser>
          <c:idx val="0"/>
          <c:order val="0"/>
          <c:tx>
            <c:strRef>
              <c:f>Sheet11!$B$3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63CC-41CE-A736-BAD63A70D924}"/>
              </c:ext>
            </c:extLst>
          </c:dPt>
          <c:dPt>
            <c:idx val="1"/>
            <c:bubble3D val="0"/>
            <c:spPr>
              <a:solidFill>
                <a:schemeClr val="accent2"/>
              </a:solidFill>
              <a:ln>
                <a:noFill/>
              </a:ln>
              <a:effectLst/>
            </c:spPr>
            <c:extLst>
              <c:ext xmlns:c16="http://schemas.microsoft.com/office/drawing/2014/chart" uri="{C3380CC4-5D6E-409C-BE32-E72D297353CC}">
                <c16:uniqueId val="{00000003-63CC-41CE-A736-BAD63A70D924}"/>
              </c:ext>
            </c:extLst>
          </c:dPt>
          <c:dPt>
            <c:idx val="2"/>
            <c:bubble3D val="0"/>
            <c:spPr>
              <a:solidFill>
                <a:schemeClr val="accent3"/>
              </a:solidFill>
              <a:ln>
                <a:noFill/>
              </a:ln>
              <a:effectLst/>
            </c:spPr>
            <c:extLst>
              <c:ext xmlns:c16="http://schemas.microsoft.com/office/drawing/2014/chart" uri="{C3380CC4-5D6E-409C-BE32-E72D297353CC}">
                <c16:uniqueId val="{00000005-63CC-41CE-A736-BAD63A70D924}"/>
              </c:ext>
            </c:extLst>
          </c:dPt>
          <c:dPt>
            <c:idx val="3"/>
            <c:bubble3D val="0"/>
            <c:spPr>
              <a:solidFill>
                <a:schemeClr val="accent4"/>
              </a:solidFill>
              <a:ln>
                <a:noFill/>
              </a:ln>
              <a:effectLst/>
            </c:spPr>
            <c:extLst>
              <c:ext xmlns:c16="http://schemas.microsoft.com/office/drawing/2014/chart" uri="{C3380CC4-5D6E-409C-BE32-E72D297353CC}">
                <c16:uniqueId val="{00000007-63CC-41CE-A736-BAD63A70D924}"/>
              </c:ext>
            </c:extLst>
          </c:dPt>
          <c:cat>
            <c:strRef>
              <c:f>Sheet11!$A$4:$A$8</c:f>
              <c:strCache>
                <c:ptCount val="4"/>
                <c:pt idx="0">
                  <c:v>Cash on Delivery</c:v>
                </c:pt>
                <c:pt idx="1">
                  <c:v>Debit Card</c:v>
                </c:pt>
                <c:pt idx="2">
                  <c:v>UPI</c:v>
                </c:pt>
                <c:pt idx="3">
                  <c:v>Credit Card</c:v>
                </c:pt>
              </c:strCache>
            </c:strRef>
          </c:cat>
          <c:val>
            <c:numRef>
              <c:f>Sheet11!$B$4:$B$8</c:f>
              <c:numCache>
                <c:formatCode>General</c:formatCode>
                <c:ptCount val="4"/>
                <c:pt idx="0">
                  <c:v>952900</c:v>
                </c:pt>
                <c:pt idx="1">
                  <c:v>581600</c:v>
                </c:pt>
                <c:pt idx="2">
                  <c:v>563600</c:v>
                </c:pt>
                <c:pt idx="3">
                  <c:v>400100</c:v>
                </c:pt>
              </c:numCache>
            </c:numRef>
          </c:val>
          <c:extLst>
            <c:ext xmlns:c16="http://schemas.microsoft.com/office/drawing/2014/chart" uri="{C3380CC4-5D6E-409C-BE32-E72D297353CC}">
              <c16:uniqueId val="{00000008-63CC-41CE-A736-BAD63A70D92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[Ecommerce_sales_analysis_dashboards.xlsx]Sheet13!PivotTable10</c:name>
    <c:fmtId val="6"/>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a:t>Top 5 by Customers by Sales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11365519353449"/>
          <c:y val="0.27430845106496615"/>
          <c:w val="0.77482048586256258"/>
          <c:h val="0.57380282152230966"/>
        </c:manualLayout>
      </c:layout>
      <c:barChart>
        <c:barDir val="col"/>
        <c:grouping val="clustered"/>
        <c:varyColors val="0"/>
        <c:ser>
          <c:idx val="0"/>
          <c:order val="0"/>
          <c:tx>
            <c:strRef>
              <c:f>Sheet13!$B$3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Sheet13!$A$4:$A$9</c:f>
              <c:strCache>
                <c:ptCount val="5"/>
                <c:pt idx="0">
                  <c:v>Customer 025</c:v>
                </c:pt>
                <c:pt idx="1">
                  <c:v>Customer 019</c:v>
                </c:pt>
                <c:pt idx="2">
                  <c:v>Customer 011</c:v>
                </c:pt>
                <c:pt idx="3">
                  <c:v>Customer 014</c:v>
                </c:pt>
                <c:pt idx="4">
                  <c:v>Customer 027</c:v>
                </c:pt>
              </c:strCache>
            </c:strRef>
          </c:cat>
          <c:val>
            <c:numRef>
              <c:f>Sheet13!$B$4:$B$9</c:f>
              <c:numCache>
                <c:formatCode>General</c:formatCode>
                <c:ptCount val="5"/>
                <c:pt idx="0">
                  <c:v>368200</c:v>
                </c:pt>
                <c:pt idx="1">
                  <c:v>326300</c:v>
                </c:pt>
                <c:pt idx="2">
                  <c:v>200100</c:v>
                </c:pt>
                <c:pt idx="3">
                  <c:v>140400</c:v>
                </c:pt>
                <c:pt idx="4">
                  <c:v>137000</c:v>
                </c:pt>
              </c:numCache>
            </c:numRef>
          </c:val>
          <c:extLst>
            <c:ext xmlns:c16="http://schemas.microsoft.com/office/drawing/2014/chart" uri="{C3380CC4-5D6E-409C-BE32-E72D297353CC}">
              <c16:uniqueId val="{00000000-3DAF-432D-934D-25719CD17646}"/>
            </c:ext>
          </c:extLst>
        </c:ser>
        <c:dLbls>
          <c:showLegendKey val="0"/>
          <c:showVal val="0"/>
          <c:showCatName val="0"/>
          <c:showSerName val="0"/>
          <c:showPercent val="0"/>
          <c:showBubbleSize val="0"/>
        </c:dLbls>
        <c:gapWidth val="100"/>
        <c:overlap val="-24"/>
        <c:axId val="742378000"/>
        <c:axId val="703052688"/>
      </c:barChart>
      <c:catAx>
        <c:axId val="7423780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052688"/>
        <c:crosses val="autoZero"/>
        <c:auto val="1"/>
        <c:lblAlgn val="ctr"/>
        <c:lblOffset val="100"/>
        <c:noMultiLvlLbl val="0"/>
      </c:catAx>
      <c:valAx>
        <c:axId val="703052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378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157111</xdr:colOff>
      <xdr:row>7</xdr:row>
      <xdr:rowOff>1989</xdr:rowOff>
    </xdr:from>
    <xdr:to>
      <xdr:col>6</xdr:col>
      <xdr:colOff>855851</xdr:colOff>
      <xdr:row>22</xdr:row>
      <xdr:rowOff>119007</xdr:rowOff>
    </xdr:to>
    <xdr:graphicFrame macro="">
      <xdr:nvGraphicFramePr>
        <xdr:cNvPr id="3" name="Chart 2">
          <a:extLst>
            <a:ext uri="{FF2B5EF4-FFF2-40B4-BE49-F238E27FC236}">
              <a16:creationId xmlns:a16="http://schemas.microsoft.com/office/drawing/2014/main" id="{62DE72BD-1710-4559-B537-2ED6252479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1029092</xdr:colOff>
      <xdr:row>6</xdr:row>
      <xdr:rowOff>180679</xdr:rowOff>
    </xdr:from>
    <xdr:to>
      <xdr:col>14</xdr:col>
      <xdr:colOff>491378</xdr:colOff>
      <xdr:row>23</xdr:row>
      <xdr:rowOff>35192</xdr:rowOff>
    </xdr:to>
    <xdr:graphicFrame macro="">
      <xdr:nvGraphicFramePr>
        <xdr:cNvPr id="4" name="Chart 3">
          <a:extLst>
            <a:ext uri="{FF2B5EF4-FFF2-40B4-BE49-F238E27FC236}">
              <a16:creationId xmlns:a16="http://schemas.microsoft.com/office/drawing/2014/main" id="{E17E9D15-0794-48F5-9F65-DBB71D3B6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166398</xdr:colOff>
      <xdr:row>42</xdr:row>
      <xdr:rowOff>160929</xdr:rowOff>
    </xdr:from>
    <xdr:to>
      <xdr:col>6</xdr:col>
      <xdr:colOff>865138</xdr:colOff>
      <xdr:row>58</xdr:row>
      <xdr:rowOff>97809</xdr:rowOff>
    </xdr:to>
    <xdr:graphicFrame macro="">
      <xdr:nvGraphicFramePr>
        <xdr:cNvPr id="5" name="Chart 4">
          <a:extLst>
            <a:ext uri="{FF2B5EF4-FFF2-40B4-BE49-F238E27FC236}">
              <a16:creationId xmlns:a16="http://schemas.microsoft.com/office/drawing/2014/main" id="{2935690C-3C03-4CC6-A351-202F19AE85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165101</xdr:colOff>
      <xdr:row>25</xdr:row>
      <xdr:rowOff>16494</xdr:rowOff>
    </xdr:from>
    <xdr:to>
      <xdr:col>6</xdr:col>
      <xdr:colOff>863841</xdr:colOff>
      <xdr:row>40</xdr:row>
      <xdr:rowOff>137699</xdr:rowOff>
    </xdr:to>
    <xdr:graphicFrame macro="">
      <xdr:nvGraphicFramePr>
        <xdr:cNvPr id="6" name="Chart 5">
          <a:extLst>
            <a:ext uri="{FF2B5EF4-FFF2-40B4-BE49-F238E27FC236}">
              <a16:creationId xmlns:a16="http://schemas.microsoft.com/office/drawing/2014/main" id="{337EE84A-0CB5-401A-99F7-7F7D68536C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1031046</xdr:colOff>
      <xdr:row>42</xdr:row>
      <xdr:rowOff>170698</xdr:rowOff>
    </xdr:from>
    <xdr:to>
      <xdr:col>14</xdr:col>
      <xdr:colOff>493332</xdr:colOff>
      <xdr:row>59</xdr:row>
      <xdr:rowOff>25211</xdr:rowOff>
    </xdr:to>
    <xdr:graphicFrame macro="">
      <xdr:nvGraphicFramePr>
        <xdr:cNvPr id="7" name="Chart 6">
          <a:extLst>
            <a:ext uri="{FF2B5EF4-FFF2-40B4-BE49-F238E27FC236}">
              <a16:creationId xmlns:a16="http://schemas.microsoft.com/office/drawing/2014/main" id="{C5EA0978-D5FE-409F-9B8F-71FBC3FB62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1023296</xdr:colOff>
      <xdr:row>25</xdr:row>
      <xdr:rowOff>45801</xdr:rowOff>
    </xdr:from>
    <xdr:to>
      <xdr:col>14</xdr:col>
      <xdr:colOff>485582</xdr:colOff>
      <xdr:row>41</xdr:row>
      <xdr:rowOff>80994</xdr:rowOff>
    </xdr:to>
    <xdr:graphicFrame macro="">
      <xdr:nvGraphicFramePr>
        <xdr:cNvPr id="8" name="Chart 7">
          <a:extLst>
            <a:ext uri="{FF2B5EF4-FFF2-40B4-BE49-F238E27FC236}">
              <a16:creationId xmlns:a16="http://schemas.microsoft.com/office/drawing/2014/main" id="{109BBD36-2451-4DEC-A5D6-20CC60659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332154</xdr:colOff>
      <xdr:row>6</xdr:row>
      <xdr:rowOff>180680</xdr:rowOff>
    </xdr:from>
    <xdr:to>
      <xdr:col>18</xdr:col>
      <xdr:colOff>136770</xdr:colOff>
      <xdr:row>23</xdr:row>
      <xdr:rowOff>35193</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814AC4F7-8BE2-4AFC-90BE-A2CE4834FD6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805084" y="1747610"/>
              <a:ext cx="1639855" cy="2956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283308</xdr:colOff>
      <xdr:row>25</xdr:row>
      <xdr:rowOff>45801</xdr:rowOff>
    </xdr:from>
    <xdr:to>
      <xdr:col>18</xdr:col>
      <xdr:colOff>295032</xdr:colOff>
      <xdr:row>41</xdr:row>
      <xdr:rowOff>80994</xdr:rowOff>
    </xdr:to>
    <mc:AlternateContent xmlns:mc="http://schemas.openxmlformats.org/markup-compatibility/2006">
      <mc:Choice xmlns:a14="http://schemas.microsoft.com/office/drawing/2010/main" Requires="a14">
        <xdr:graphicFrame macro="">
          <xdr:nvGraphicFramePr>
            <xdr:cNvPr id="12" name="City">
              <a:extLst>
                <a:ext uri="{FF2B5EF4-FFF2-40B4-BE49-F238E27FC236}">
                  <a16:creationId xmlns:a16="http://schemas.microsoft.com/office/drawing/2014/main" id="{D9D45EE6-E942-4FD5-A9FF-ACD50720362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1756238" y="5079294"/>
              <a:ext cx="1846963" cy="29544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293077</xdr:colOff>
      <xdr:row>42</xdr:row>
      <xdr:rowOff>170698</xdr:rowOff>
    </xdr:from>
    <xdr:to>
      <xdr:col>18</xdr:col>
      <xdr:colOff>304801</xdr:colOff>
      <xdr:row>59</xdr:row>
      <xdr:rowOff>25211</xdr:rowOff>
    </xdr:to>
    <mc:AlternateContent xmlns:mc="http://schemas.openxmlformats.org/markup-compatibility/2006">
      <mc:Choice xmlns:a14="http://schemas.microsoft.com/office/drawing/2010/main" Requires="a14">
        <xdr:graphicFrame macro="">
          <xdr:nvGraphicFramePr>
            <xdr:cNvPr id="13" name="Payment_Method">
              <a:extLst>
                <a:ext uri="{FF2B5EF4-FFF2-40B4-BE49-F238E27FC236}">
                  <a16:creationId xmlns:a16="http://schemas.microsoft.com/office/drawing/2014/main" id="{342C05F4-3E34-43D9-8460-F5823FB7840F}"/>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11766007" y="8305853"/>
              <a:ext cx="1846963" cy="2956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Sheet4"/>
      <sheetName val="Sheet5"/>
      <sheetName val="Sheet7"/>
      <sheetName val="Sheet8"/>
      <sheetName val="Sheet9"/>
      <sheetName val="Sheet10"/>
      <sheetName val="Sheet11"/>
      <sheetName val="Sheet12"/>
      <sheetName val="Sheet13"/>
      <sheetName val="Dashboard"/>
      <sheetName val="Sheet1"/>
    </sheetNames>
    <sheetDataSet>
      <sheetData sheetId="0"/>
      <sheetData sheetId="1"/>
      <sheetData sheetId="2"/>
      <sheetData sheetId="3"/>
      <sheetData sheetId="4"/>
      <sheetData sheetId="5"/>
      <sheetData sheetId="6"/>
      <sheetData sheetId="7"/>
      <sheetData sheetId="8"/>
      <sheetData sheetId="9"/>
      <sheetData sheetId="10"/>
      <sheetData sheetId="11">
        <row r="1">
          <cell r="A1" t="str">
            <v>Order_ID</v>
          </cell>
        </row>
        <row r="2">
          <cell r="K2">
            <v>4700</v>
          </cell>
        </row>
        <row r="3">
          <cell r="K3">
            <v>4000</v>
          </cell>
        </row>
        <row r="4">
          <cell r="K4">
            <v>44900</v>
          </cell>
        </row>
        <row r="5">
          <cell r="K5">
            <v>18000</v>
          </cell>
        </row>
        <row r="6">
          <cell r="K6">
            <v>15200</v>
          </cell>
        </row>
        <row r="7">
          <cell r="K7">
            <v>4800</v>
          </cell>
        </row>
        <row r="8">
          <cell r="K8">
            <v>1600</v>
          </cell>
        </row>
        <row r="9">
          <cell r="K9">
            <v>2700</v>
          </cell>
        </row>
        <row r="10">
          <cell r="K10">
            <v>1400</v>
          </cell>
        </row>
        <row r="11">
          <cell r="K11">
            <v>3000</v>
          </cell>
        </row>
        <row r="12">
          <cell r="K12">
            <v>7600</v>
          </cell>
        </row>
        <row r="13">
          <cell r="K13">
            <v>1300</v>
          </cell>
        </row>
        <row r="14">
          <cell r="K14">
            <v>8100</v>
          </cell>
        </row>
        <row r="15">
          <cell r="K15">
            <v>56400</v>
          </cell>
        </row>
        <row r="16">
          <cell r="K16">
            <v>2100</v>
          </cell>
        </row>
        <row r="17">
          <cell r="K17">
            <v>1600</v>
          </cell>
        </row>
        <row r="18">
          <cell r="K18">
            <v>3200</v>
          </cell>
        </row>
        <row r="19">
          <cell r="K19">
            <v>3600</v>
          </cell>
        </row>
        <row r="20">
          <cell r="K20">
            <v>1900</v>
          </cell>
        </row>
        <row r="21">
          <cell r="K21">
            <v>56000</v>
          </cell>
        </row>
        <row r="22">
          <cell r="K22">
            <v>5200</v>
          </cell>
        </row>
        <row r="23">
          <cell r="K23">
            <v>2700</v>
          </cell>
        </row>
        <row r="24">
          <cell r="K24">
            <v>17600</v>
          </cell>
        </row>
        <row r="25">
          <cell r="K25">
            <v>1200</v>
          </cell>
        </row>
        <row r="26">
          <cell r="K26">
            <v>1700</v>
          </cell>
        </row>
        <row r="27">
          <cell r="K27">
            <v>6200</v>
          </cell>
        </row>
        <row r="28">
          <cell r="K28">
            <v>1000</v>
          </cell>
        </row>
        <row r="29">
          <cell r="K29">
            <v>3400</v>
          </cell>
        </row>
        <row r="30">
          <cell r="K30">
            <v>1600</v>
          </cell>
        </row>
        <row r="31">
          <cell r="K31">
            <v>4000</v>
          </cell>
        </row>
        <row r="32">
          <cell r="K32">
            <v>11100</v>
          </cell>
        </row>
        <row r="33">
          <cell r="K33">
            <v>1600</v>
          </cell>
        </row>
        <row r="34">
          <cell r="K34">
            <v>1300</v>
          </cell>
        </row>
        <row r="35">
          <cell r="K35">
            <v>2800</v>
          </cell>
        </row>
        <row r="36">
          <cell r="K36">
            <v>180000</v>
          </cell>
        </row>
        <row r="37">
          <cell r="K37">
            <v>6900</v>
          </cell>
        </row>
        <row r="38">
          <cell r="K38">
            <v>180400</v>
          </cell>
        </row>
        <row r="39">
          <cell r="K39">
            <v>1100</v>
          </cell>
        </row>
        <row r="40">
          <cell r="K40">
            <v>2000</v>
          </cell>
        </row>
        <row r="41">
          <cell r="K41">
            <v>13500</v>
          </cell>
        </row>
        <row r="42">
          <cell r="K42">
            <v>1500</v>
          </cell>
        </row>
        <row r="43">
          <cell r="K43">
            <v>7500</v>
          </cell>
        </row>
        <row r="44">
          <cell r="K44">
            <v>8000</v>
          </cell>
        </row>
        <row r="45">
          <cell r="K45">
            <v>2000</v>
          </cell>
        </row>
        <row r="46">
          <cell r="K46">
            <v>4200</v>
          </cell>
        </row>
        <row r="47">
          <cell r="K47">
            <v>1400</v>
          </cell>
        </row>
        <row r="48">
          <cell r="K48">
            <v>3000</v>
          </cell>
        </row>
        <row r="49">
          <cell r="K49">
            <v>45200</v>
          </cell>
        </row>
        <row r="50">
          <cell r="K50">
            <v>6200</v>
          </cell>
        </row>
        <row r="51">
          <cell r="K51">
            <v>4200</v>
          </cell>
        </row>
        <row r="52">
          <cell r="K52">
            <v>5600</v>
          </cell>
        </row>
        <row r="53">
          <cell r="K53">
            <v>4400</v>
          </cell>
        </row>
        <row r="54">
          <cell r="K54">
            <v>2600</v>
          </cell>
        </row>
        <row r="55">
          <cell r="K55">
            <v>5200</v>
          </cell>
        </row>
        <row r="56">
          <cell r="K56">
            <v>2400</v>
          </cell>
        </row>
        <row r="57">
          <cell r="K57">
            <v>2400</v>
          </cell>
        </row>
        <row r="58">
          <cell r="K58">
            <v>3900</v>
          </cell>
        </row>
        <row r="59">
          <cell r="K59">
            <v>2400</v>
          </cell>
        </row>
        <row r="60">
          <cell r="K60">
            <v>8100</v>
          </cell>
        </row>
        <row r="61">
          <cell r="K61">
            <v>800</v>
          </cell>
        </row>
        <row r="62">
          <cell r="K62">
            <v>3600</v>
          </cell>
        </row>
        <row r="63">
          <cell r="K63">
            <v>11100</v>
          </cell>
        </row>
        <row r="64">
          <cell r="K64">
            <v>7800</v>
          </cell>
        </row>
        <row r="65">
          <cell r="K65">
            <v>56200</v>
          </cell>
        </row>
        <row r="66">
          <cell r="K66">
            <v>3600</v>
          </cell>
        </row>
        <row r="67">
          <cell r="K67">
            <v>9300</v>
          </cell>
        </row>
        <row r="68">
          <cell r="K68">
            <v>1700</v>
          </cell>
        </row>
        <row r="69">
          <cell r="K69">
            <v>2400</v>
          </cell>
        </row>
        <row r="70">
          <cell r="K70">
            <v>4500</v>
          </cell>
        </row>
        <row r="71">
          <cell r="K71">
            <v>6400</v>
          </cell>
        </row>
        <row r="72">
          <cell r="K72">
            <v>8800</v>
          </cell>
        </row>
        <row r="73">
          <cell r="K73">
            <v>1200</v>
          </cell>
        </row>
        <row r="74">
          <cell r="K74">
            <v>1700</v>
          </cell>
        </row>
        <row r="75">
          <cell r="K75">
            <v>2200</v>
          </cell>
        </row>
        <row r="76">
          <cell r="K76">
            <v>3600</v>
          </cell>
        </row>
        <row r="77">
          <cell r="K77">
            <v>6000</v>
          </cell>
        </row>
        <row r="78">
          <cell r="K78">
            <v>135000</v>
          </cell>
        </row>
        <row r="79">
          <cell r="K79">
            <v>111200</v>
          </cell>
        </row>
        <row r="80">
          <cell r="K80">
            <v>7600</v>
          </cell>
        </row>
        <row r="81">
          <cell r="K81">
            <v>2400</v>
          </cell>
        </row>
        <row r="82">
          <cell r="K82">
            <v>135000</v>
          </cell>
        </row>
        <row r="83">
          <cell r="K83">
            <v>2400</v>
          </cell>
        </row>
        <row r="84">
          <cell r="K84">
            <v>3700</v>
          </cell>
        </row>
        <row r="85">
          <cell r="K85">
            <v>5200</v>
          </cell>
        </row>
        <row r="86">
          <cell r="K86">
            <v>4400</v>
          </cell>
        </row>
        <row r="87">
          <cell r="K87">
            <v>2200</v>
          </cell>
        </row>
        <row r="88">
          <cell r="K88">
            <v>18800</v>
          </cell>
        </row>
        <row r="89">
          <cell r="K89">
            <v>11700</v>
          </cell>
        </row>
        <row r="90">
          <cell r="K90">
            <v>2700</v>
          </cell>
        </row>
        <row r="91">
          <cell r="K91">
            <v>5600</v>
          </cell>
        </row>
        <row r="92">
          <cell r="K92">
            <v>5700</v>
          </cell>
        </row>
        <row r="93">
          <cell r="K93">
            <v>3900</v>
          </cell>
        </row>
        <row r="94">
          <cell r="K94">
            <v>2800</v>
          </cell>
        </row>
        <row r="95">
          <cell r="K95">
            <v>5400</v>
          </cell>
        </row>
        <row r="96">
          <cell r="K96">
            <v>83400</v>
          </cell>
        </row>
        <row r="97">
          <cell r="K97">
            <v>15600</v>
          </cell>
        </row>
        <row r="98">
          <cell r="K98">
            <v>14400</v>
          </cell>
        </row>
        <row r="99">
          <cell r="K99">
            <v>8000</v>
          </cell>
        </row>
        <row r="100">
          <cell r="K100">
            <v>10200</v>
          </cell>
        </row>
        <row r="101">
          <cell r="K101">
            <v>5400</v>
          </cell>
        </row>
        <row r="102">
          <cell r="K102">
            <v>2200</v>
          </cell>
        </row>
        <row r="103">
          <cell r="K103">
            <v>6300</v>
          </cell>
        </row>
        <row r="104">
          <cell r="K104">
            <v>27900</v>
          </cell>
        </row>
        <row r="105">
          <cell r="K105">
            <v>56000</v>
          </cell>
        </row>
        <row r="106">
          <cell r="K106">
            <v>6800</v>
          </cell>
        </row>
        <row r="107">
          <cell r="K107">
            <v>1400</v>
          </cell>
        </row>
        <row r="108">
          <cell r="K108">
            <v>1500</v>
          </cell>
        </row>
        <row r="109">
          <cell r="K109">
            <v>3200</v>
          </cell>
        </row>
        <row r="110">
          <cell r="K110">
            <v>2400</v>
          </cell>
        </row>
        <row r="111">
          <cell r="K111">
            <v>4400</v>
          </cell>
        </row>
        <row r="112">
          <cell r="K112">
            <v>3600</v>
          </cell>
        </row>
        <row r="113">
          <cell r="K113">
            <v>84000</v>
          </cell>
        </row>
        <row r="114">
          <cell r="K114">
            <v>4000</v>
          </cell>
        </row>
        <row r="115">
          <cell r="K115">
            <v>2400</v>
          </cell>
        </row>
        <row r="116">
          <cell r="K116">
            <v>4800</v>
          </cell>
        </row>
        <row r="117">
          <cell r="K117">
            <v>12000</v>
          </cell>
        </row>
        <row r="118">
          <cell r="K118">
            <v>3900</v>
          </cell>
        </row>
        <row r="119">
          <cell r="K119">
            <v>90200</v>
          </cell>
        </row>
        <row r="120">
          <cell r="K120">
            <v>8800</v>
          </cell>
        </row>
        <row r="121">
          <cell r="K121">
            <v>3900</v>
          </cell>
        </row>
        <row r="122">
          <cell r="K122">
            <v>5400</v>
          </cell>
        </row>
        <row r="123">
          <cell r="K123">
            <v>3900</v>
          </cell>
        </row>
        <row r="124">
          <cell r="K124">
            <v>4800</v>
          </cell>
        </row>
        <row r="125">
          <cell r="K125">
            <v>1800</v>
          </cell>
        </row>
        <row r="126">
          <cell r="K126">
            <v>4000</v>
          </cell>
        </row>
        <row r="127">
          <cell r="K127">
            <v>3200</v>
          </cell>
        </row>
        <row r="128">
          <cell r="K128">
            <v>2800</v>
          </cell>
        </row>
        <row r="129">
          <cell r="K129">
            <v>3800</v>
          </cell>
        </row>
        <row r="130">
          <cell r="K130">
            <v>6400</v>
          </cell>
        </row>
        <row r="131">
          <cell r="K131">
            <v>28200</v>
          </cell>
        </row>
        <row r="132">
          <cell r="K132">
            <v>12800</v>
          </cell>
        </row>
        <row r="133">
          <cell r="K133">
            <v>2600</v>
          </cell>
        </row>
        <row r="134">
          <cell r="K134">
            <v>135600</v>
          </cell>
        </row>
        <row r="135">
          <cell r="K135">
            <v>90200</v>
          </cell>
        </row>
        <row r="136">
          <cell r="K136">
            <v>13600</v>
          </cell>
        </row>
        <row r="137">
          <cell r="K137">
            <v>5700</v>
          </cell>
        </row>
        <row r="138">
          <cell r="K138">
            <v>6400</v>
          </cell>
        </row>
        <row r="139">
          <cell r="K139">
            <v>2800</v>
          </cell>
        </row>
        <row r="140">
          <cell r="K140">
            <v>1100</v>
          </cell>
        </row>
        <row r="141">
          <cell r="K141">
            <v>1500</v>
          </cell>
        </row>
        <row r="142">
          <cell r="K142">
            <v>13600</v>
          </cell>
        </row>
        <row r="143">
          <cell r="K143">
            <v>9600</v>
          </cell>
        </row>
        <row r="144">
          <cell r="K144">
            <v>5400</v>
          </cell>
        </row>
        <row r="145">
          <cell r="K145">
            <v>9000</v>
          </cell>
        </row>
        <row r="146">
          <cell r="K146">
            <v>111600</v>
          </cell>
        </row>
        <row r="147">
          <cell r="K147">
            <v>2400</v>
          </cell>
        </row>
        <row r="148">
          <cell r="K148">
            <v>2700</v>
          </cell>
        </row>
        <row r="149">
          <cell r="K149">
            <v>1200</v>
          </cell>
        </row>
        <row r="150">
          <cell r="K150">
            <v>800</v>
          </cell>
        </row>
        <row r="151">
          <cell r="K151">
            <v>134400</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yu" refreshedDate="46260.744682291668" createdVersion="8" refreshedVersion="8" minRefreshableVersion="3" recordCount="150" xr:uid="{A259959F-1FE6-4953-BD14-B0D08B3587DE}">
  <cacheSource type="worksheet">
    <worksheetSource ref="A1:K151" sheet="Sheet1"/>
  </cacheSource>
  <cacheFields count="13">
    <cacheField name="Order_ID" numFmtId="0">
      <sharedItems count="15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haredItems>
    </cacheField>
    <cacheField name="Order_Date" numFmtId="164">
      <sharedItems containsSemiMixedTypes="0" containsNonDate="0" containsDate="1" containsString="0" minDate="2026-01-03T00:00:00" maxDate="2026-06-30T00:00:00" count="105">
        <d v="2026-01-07T00:00:00"/>
        <d v="2026-06-23T00:00:00"/>
        <d v="2026-02-25T00:00:00"/>
        <d v="2026-02-26T00:00:00"/>
        <d v="2026-03-29T00:00:00"/>
        <d v="2026-01-25T00:00:00"/>
        <d v="2026-04-07T00:00:00"/>
        <d v="2026-01-12T00:00:00"/>
        <d v="2026-04-08T00:00:00"/>
        <d v="2026-06-21T00:00:00"/>
        <d v="2026-02-11T00:00:00"/>
        <d v="2026-02-28T00:00:00"/>
        <d v="2026-02-24T00:00:00"/>
        <d v="2026-03-05T00:00:00"/>
        <d v="2026-02-09T00:00:00"/>
        <d v="2026-05-16T00:00:00"/>
        <d v="2026-06-14T00:00:00"/>
        <d v="2026-03-09T00:00:00"/>
        <d v="2026-01-05T00:00:00"/>
        <d v="2026-01-22T00:00:00"/>
        <d v="2026-05-21T00:00:00"/>
        <d v="2026-03-21T00:00:00"/>
        <d v="2026-05-31T00:00:00"/>
        <d v="2026-03-26T00:00:00"/>
        <d v="2026-05-19T00:00:00"/>
        <d v="2026-02-18T00:00:00"/>
        <d v="2026-01-14T00:00:00"/>
        <d v="2026-01-28T00:00:00"/>
        <d v="2026-03-13T00:00:00"/>
        <d v="2026-06-16T00:00:00"/>
        <d v="2026-05-04T00:00:00"/>
        <d v="2026-05-09T00:00:00"/>
        <d v="2026-06-22T00:00:00"/>
        <d v="2026-06-08T00:00:00"/>
        <d v="2026-03-03T00:00:00"/>
        <d v="2026-01-03T00:00:00"/>
        <d v="2026-02-03T00:00:00"/>
        <d v="2026-05-20T00:00:00"/>
        <d v="2026-01-24T00:00:00"/>
        <d v="2026-06-13T00:00:00"/>
        <d v="2026-01-20T00:00:00"/>
        <d v="2026-04-21T00:00:00"/>
        <d v="2026-02-23T00:00:00"/>
        <d v="2026-03-10T00:00:00"/>
        <d v="2026-06-18T00:00:00"/>
        <d v="2026-03-31T00:00:00"/>
        <d v="2026-02-15T00:00:00"/>
        <d v="2026-03-22T00:00:00"/>
        <d v="2026-06-20T00:00:00"/>
        <d v="2026-05-10T00:00:00"/>
        <d v="2026-05-22T00:00:00"/>
        <d v="2026-06-07T00:00:00"/>
        <d v="2026-05-11T00:00:00"/>
        <d v="2026-06-28T00:00:00"/>
        <d v="2026-02-01T00:00:00"/>
        <d v="2026-03-15T00:00:00"/>
        <d v="2026-02-08T00:00:00"/>
        <d v="2026-04-10T00:00:00"/>
        <d v="2026-03-18T00:00:00"/>
        <d v="2026-05-05T00:00:00"/>
        <d v="2026-02-02T00:00:00"/>
        <d v="2026-01-06T00:00:00"/>
        <d v="2026-05-25T00:00:00"/>
        <d v="2026-04-12T00:00:00"/>
        <d v="2026-06-25T00:00:00"/>
        <d v="2026-01-18T00:00:00"/>
        <d v="2026-03-24T00:00:00"/>
        <d v="2026-05-26T00:00:00"/>
        <d v="2026-02-16T00:00:00"/>
        <d v="2026-05-23T00:00:00"/>
        <d v="2026-05-06T00:00:00"/>
        <d v="2026-04-25T00:00:00"/>
        <d v="2026-03-20T00:00:00"/>
        <d v="2026-04-19T00:00:00"/>
        <d v="2026-02-19T00:00:00"/>
        <d v="2026-01-26T00:00:00"/>
        <d v="2026-05-17T00:00:00"/>
        <d v="2026-04-13T00:00:00"/>
        <d v="2026-04-24T00:00:00"/>
        <d v="2026-06-06T00:00:00"/>
        <d v="2026-02-10T00:00:00"/>
        <d v="2026-06-26T00:00:00"/>
        <d v="2026-06-29T00:00:00"/>
        <d v="2026-01-19T00:00:00"/>
        <d v="2026-04-23T00:00:00"/>
        <d v="2026-05-01T00:00:00"/>
        <d v="2026-06-12T00:00:00"/>
        <d v="2026-06-19T00:00:00"/>
        <d v="2026-04-16T00:00:00"/>
        <d v="2026-02-22T00:00:00"/>
        <d v="2026-05-08T00:00:00"/>
        <d v="2026-04-27T00:00:00"/>
        <d v="2026-03-14T00:00:00"/>
        <d v="2026-03-30T00:00:00"/>
        <d v="2026-05-02T00:00:00"/>
        <d v="2026-01-04T00:00:00"/>
        <d v="2026-03-28T00:00:00"/>
        <d v="2026-03-23T00:00:00"/>
        <d v="2026-06-11T00:00:00"/>
        <d v="2026-03-17T00:00:00"/>
        <d v="2026-04-28T00:00:00"/>
        <d v="2026-03-19T00:00:00"/>
        <d v="2026-05-28T00:00:00"/>
        <d v="2026-06-05T00:00:00"/>
        <d v="2026-06-10T00:00:00"/>
      </sharedItems>
      <fieldGroup par="12"/>
    </cacheField>
    <cacheField name="Product" numFmtId="0">
      <sharedItems count="15">
        <s v="Coffee Maker"/>
        <s v="Mixer Grinder"/>
        <s v="Laptop"/>
        <s v="Wireless Mouse"/>
        <s v="Jeans"/>
        <s v="Headphones"/>
        <s v="Bedsheet"/>
        <s v="Backpack"/>
        <s v="Smartphone"/>
        <s v="T-Shirt"/>
        <s v="Table Lamp"/>
        <s v="Water Bottle"/>
        <s v="Sneakers"/>
        <s v="Watch"/>
        <s v="Keyboard"/>
      </sharedItems>
    </cacheField>
    <cacheField name="Category" numFmtId="0">
      <sharedItems count="3">
        <s v="Home &amp; Kitchen"/>
        <s v="Electronics"/>
        <s v="Fashion"/>
      </sharedItems>
    </cacheField>
    <cacheField name="Quantity" numFmtId="0">
      <sharedItems containsSemiMixedTypes="0" containsString="0" containsNumber="1" containsInteger="1" minValue="1" maxValue="4"/>
    </cacheField>
    <cacheField name="Unit_Price" numFmtId="0">
      <sharedItems containsSemiMixedTypes="0" containsString="0" containsNumber="1" containsInteger="1" minValue="400" maxValue="45200"/>
    </cacheField>
    <cacheField name="Customer" numFmtId="0">
      <sharedItems count="48">
        <s v="Customer 018"/>
        <s v="Customer 035"/>
        <s v="Customer 033"/>
        <s v="Customer 038"/>
        <s v="Customer 010"/>
        <s v="Customer 023"/>
        <s v="Customer 036"/>
        <s v="Customer 015"/>
        <s v="Customer 030"/>
        <s v="Customer 045"/>
        <s v="Customer 025"/>
        <s v="Customer 021"/>
        <s v="Customer 032"/>
        <s v="Customer 011"/>
        <s v="Customer 008"/>
        <s v="Customer 049"/>
        <s v="Customer 024"/>
        <s v="Customer 017"/>
        <s v="Customer 043"/>
        <s v="Customer 005"/>
        <s v="Customer 001"/>
        <s v="Customer 047"/>
        <s v="Customer 007"/>
        <s v="Customer 042"/>
        <s v="Customer 013"/>
        <s v="Customer 016"/>
        <s v="Customer 026"/>
        <s v="Customer 019"/>
        <s v="Customer 027"/>
        <s v="Customer 040"/>
        <s v="Customer 020"/>
        <s v="Customer 044"/>
        <s v="Customer 028"/>
        <s v="Customer 003"/>
        <s v="Customer 048"/>
        <s v="Customer 039"/>
        <s v="Customer 031"/>
        <s v="Customer 009"/>
        <s v="Customer 050"/>
        <s v="Customer 014"/>
        <s v="Customer 006"/>
        <s v="Customer 034"/>
        <s v="Customer 004"/>
        <s v="Customer 012"/>
        <s v="Customer 041"/>
        <s v="Customer 037"/>
        <s v="Customer 022"/>
        <s v="Customer 046"/>
      </sharedItems>
    </cacheField>
    <cacheField name="City" numFmtId="0">
      <sharedItems count="8">
        <s v="Trichy"/>
        <s v="Coimbatore"/>
        <s v="Chennai"/>
        <s v="Salem"/>
        <s v="Bangalore"/>
        <s v="Hyderabad"/>
        <s v="Kochi"/>
        <s v="Madurai"/>
      </sharedItems>
    </cacheField>
    <cacheField name="Payment_Method" numFmtId="0">
      <sharedItems count="4">
        <s v="Credit Card"/>
        <s v="Cash on Delivery"/>
        <s v="UPI"/>
        <s v="Debit Card"/>
      </sharedItems>
    </cacheField>
    <cacheField name="Order_Status" numFmtId="0">
      <sharedItems count="3">
        <s v="Delivered"/>
        <s v="Returned"/>
        <s v="Cancelled"/>
      </sharedItems>
    </cacheField>
    <cacheField name="Sales" numFmtId="0">
      <sharedItems containsSemiMixedTypes="0" containsString="0" containsNumber="1" containsInteger="1" minValue="800" maxValue="180400"/>
    </cacheField>
    <cacheField name="Days (Order_Date)" numFmtId="0" databaseField="0">
      <fieldGroup base="1">
        <rangePr groupBy="days" startDate="2026-01-03T00:00:00" endDate="2026-06-30T00:00:00"/>
        <groupItems count="368">
          <s v="&lt;1/3/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30/2026"/>
        </groupItems>
      </fieldGroup>
    </cacheField>
    <cacheField name="Months (Order_Date)" numFmtId="0" databaseField="0">
      <fieldGroup base="1">
        <rangePr groupBy="months" startDate="2026-01-03T00:00:00" endDate="2026-06-30T00:00:00"/>
        <groupItems count="14">
          <s v="&lt;1/3/2026"/>
          <s v="Jan"/>
          <s v="Feb"/>
          <s v="Mar"/>
          <s v="Apr"/>
          <s v="May"/>
          <s v="Jun"/>
          <s v="Jul"/>
          <s v="Aug"/>
          <s v="Sep"/>
          <s v="Oct"/>
          <s v="Nov"/>
          <s v="Dec"/>
          <s v="&gt;6/30/2026"/>
        </groupItems>
      </fieldGroup>
    </cacheField>
  </cacheFields>
  <extLst>
    <ext xmlns:x14="http://schemas.microsoft.com/office/spreadsheetml/2009/9/main" uri="{725AE2AE-9491-48be-B2B4-4EB974FC3084}">
      <x14:pivotCacheDefinition pivotCacheId="13090645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x v="0"/>
    <x v="0"/>
    <x v="0"/>
    <n v="1"/>
    <n v="4700"/>
    <x v="0"/>
    <x v="0"/>
    <x v="0"/>
    <x v="0"/>
    <n v="4700"/>
  </r>
  <r>
    <x v="1"/>
    <x v="1"/>
    <x v="1"/>
    <x v="0"/>
    <n v="1"/>
    <n v="4000"/>
    <x v="1"/>
    <x v="1"/>
    <x v="1"/>
    <x v="0"/>
    <n v="4000"/>
  </r>
  <r>
    <x v="2"/>
    <x v="2"/>
    <x v="2"/>
    <x v="1"/>
    <n v="1"/>
    <n v="44900"/>
    <x v="2"/>
    <x v="2"/>
    <x v="0"/>
    <x v="1"/>
    <n v="44900"/>
  </r>
  <r>
    <x v="3"/>
    <x v="3"/>
    <x v="0"/>
    <x v="0"/>
    <n v="4"/>
    <n v="4500"/>
    <x v="3"/>
    <x v="3"/>
    <x v="2"/>
    <x v="0"/>
    <n v="18000"/>
  </r>
  <r>
    <x v="4"/>
    <x v="4"/>
    <x v="1"/>
    <x v="0"/>
    <n v="4"/>
    <n v="3800"/>
    <x v="4"/>
    <x v="0"/>
    <x v="3"/>
    <x v="0"/>
    <n v="15200"/>
  </r>
  <r>
    <x v="5"/>
    <x v="5"/>
    <x v="3"/>
    <x v="1"/>
    <n v="4"/>
    <n v="1200"/>
    <x v="5"/>
    <x v="3"/>
    <x v="2"/>
    <x v="1"/>
    <n v="4800"/>
  </r>
  <r>
    <x v="6"/>
    <x v="6"/>
    <x v="4"/>
    <x v="2"/>
    <n v="1"/>
    <n v="1600"/>
    <x v="6"/>
    <x v="3"/>
    <x v="3"/>
    <x v="2"/>
    <n v="1600"/>
  </r>
  <r>
    <x v="7"/>
    <x v="7"/>
    <x v="5"/>
    <x v="1"/>
    <n v="1"/>
    <n v="2700"/>
    <x v="7"/>
    <x v="3"/>
    <x v="2"/>
    <x v="0"/>
    <n v="2700"/>
  </r>
  <r>
    <x v="8"/>
    <x v="8"/>
    <x v="6"/>
    <x v="0"/>
    <n v="1"/>
    <n v="1400"/>
    <x v="8"/>
    <x v="4"/>
    <x v="0"/>
    <x v="0"/>
    <n v="1400"/>
  </r>
  <r>
    <x v="9"/>
    <x v="9"/>
    <x v="7"/>
    <x v="2"/>
    <n v="2"/>
    <n v="1500"/>
    <x v="9"/>
    <x v="1"/>
    <x v="0"/>
    <x v="2"/>
    <n v="3000"/>
  </r>
  <r>
    <x v="10"/>
    <x v="10"/>
    <x v="1"/>
    <x v="0"/>
    <n v="2"/>
    <n v="3800"/>
    <x v="10"/>
    <x v="3"/>
    <x v="0"/>
    <x v="1"/>
    <n v="7600"/>
  </r>
  <r>
    <x v="11"/>
    <x v="11"/>
    <x v="7"/>
    <x v="2"/>
    <n v="1"/>
    <n v="1300"/>
    <x v="11"/>
    <x v="5"/>
    <x v="3"/>
    <x v="0"/>
    <n v="1300"/>
  </r>
  <r>
    <x v="12"/>
    <x v="12"/>
    <x v="5"/>
    <x v="1"/>
    <n v="3"/>
    <n v="2700"/>
    <x v="12"/>
    <x v="5"/>
    <x v="1"/>
    <x v="0"/>
    <n v="8100"/>
  </r>
  <r>
    <x v="13"/>
    <x v="13"/>
    <x v="8"/>
    <x v="1"/>
    <n v="2"/>
    <n v="28200"/>
    <x v="6"/>
    <x v="3"/>
    <x v="1"/>
    <x v="2"/>
    <n v="56400"/>
  </r>
  <r>
    <x v="14"/>
    <x v="3"/>
    <x v="9"/>
    <x v="2"/>
    <n v="3"/>
    <n v="700"/>
    <x v="2"/>
    <x v="6"/>
    <x v="2"/>
    <x v="0"/>
    <n v="2100"/>
  </r>
  <r>
    <x v="15"/>
    <x v="14"/>
    <x v="6"/>
    <x v="0"/>
    <n v="1"/>
    <n v="1600"/>
    <x v="13"/>
    <x v="5"/>
    <x v="2"/>
    <x v="0"/>
    <n v="1600"/>
  </r>
  <r>
    <x v="16"/>
    <x v="15"/>
    <x v="9"/>
    <x v="2"/>
    <n v="4"/>
    <n v="800"/>
    <x v="6"/>
    <x v="2"/>
    <x v="2"/>
    <x v="1"/>
    <n v="3200"/>
  </r>
  <r>
    <x v="17"/>
    <x v="16"/>
    <x v="10"/>
    <x v="0"/>
    <n v="3"/>
    <n v="1200"/>
    <x v="14"/>
    <x v="3"/>
    <x v="1"/>
    <x v="0"/>
    <n v="3600"/>
  </r>
  <r>
    <x v="18"/>
    <x v="17"/>
    <x v="4"/>
    <x v="2"/>
    <n v="1"/>
    <n v="1900"/>
    <x v="15"/>
    <x v="7"/>
    <x v="2"/>
    <x v="1"/>
    <n v="1900"/>
  </r>
  <r>
    <x v="19"/>
    <x v="14"/>
    <x v="8"/>
    <x v="1"/>
    <n v="2"/>
    <n v="28000"/>
    <x v="15"/>
    <x v="7"/>
    <x v="2"/>
    <x v="2"/>
    <n v="56000"/>
  </r>
  <r>
    <x v="20"/>
    <x v="18"/>
    <x v="7"/>
    <x v="2"/>
    <n v="4"/>
    <n v="1300"/>
    <x v="16"/>
    <x v="3"/>
    <x v="0"/>
    <x v="0"/>
    <n v="5200"/>
  </r>
  <r>
    <x v="21"/>
    <x v="19"/>
    <x v="5"/>
    <x v="1"/>
    <n v="1"/>
    <n v="2700"/>
    <x v="12"/>
    <x v="1"/>
    <x v="0"/>
    <x v="0"/>
    <n v="2700"/>
  </r>
  <r>
    <x v="22"/>
    <x v="20"/>
    <x v="0"/>
    <x v="0"/>
    <n v="4"/>
    <n v="4400"/>
    <x v="17"/>
    <x v="5"/>
    <x v="0"/>
    <x v="2"/>
    <n v="17600"/>
  </r>
  <r>
    <x v="23"/>
    <x v="21"/>
    <x v="11"/>
    <x v="0"/>
    <n v="2"/>
    <n v="600"/>
    <x v="18"/>
    <x v="4"/>
    <x v="1"/>
    <x v="2"/>
    <n v="1200"/>
  </r>
  <r>
    <x v="24"/>
    <x v="13"/>
    <x v="4"/>
    <x v="2"/>
    <n v="1"/>
    <n v="1700"/>
    <x v="19"/>
    <x v="4"/>
    <x v="2"/>
    <x v="2"/>
    <n v="1700"/>
  </r>
  <r>
    <x v="25"/>
    <x v="22"/>
    <x v="12"/>
    <x v="2"/>
    <n v="2"/>
    <n v="3100"/>
    <x v="20"/>
    <x v="1"/>
    <x v="2"/>
    <x v="0"/>
    <n v="6200"/>
  </r>
  <r>
    <x v="26"/>
    <x v="23"/>
    <x v="3"/>
    <x v="1"/>
    <n v="1"/>
    <n v="1000"/>
    <x v="2"/>
    <x v="0"/>
    <x v="3"/>
    <x v="1"/>
    <n v="1000"/>
  </r>
  <r>
    <x v="27"/>
    <x v="24"/>
    <x v="4"/>
    <x v="2"/>
    <n v="2"/>
    <n v="1700"/>
    <x v="21"/>
    <x v="6"/>
    <x v="0"/>
    <x v="0"/>
    <n v="3400"/>
  </r>
  <r>
    <x v="28"/>
    <x v="25"/>
    <x v="11"/>
    <x v="0"/>
    <n v="4"/>
    <n v="400"/>
    <x v="22"/>
    <x v="5"/>
    <x v="3"/>
    <x v="0"/>
    <n v="1600"/>
  </r>
  <r>
    <x v="29"/>
    <x v="26"/>
    <x v="9"/>
    <x v="2"/>
    <n v="4"/>
    <n v="1000"/>
    <x v="23"/>
    <x v="1"/>
    <x v="2"/>
    <x v="0"/>
    <n v="4000"/>
  </r>
  <r>
    <x v="30"/>
    <x v="27"/>
    <x v="1"/>
    <x v="0"/>
    <n v="3"/>
    <n v="3700"/>
    <x v="24"/>
    <x v="0"/>
    <x v="1"/>
    <x v="0"/>
    <n v="11100"/>
  </r>
  <r>
    <x v="31"/>
    <x v="28"/>
    <x v="9"/>
    <x v="2"/>
    <n v="2"/>
    <n v="800"/>
    <x v="25"/>
    <x v="1"/>
    <x v="1"/>
    <x v="2"/>
    <n v="1600"/>
  </r>
  <r>
    <x v="32"/>
    <x v="29"/>
    <x v="3"/>
    <x v="1"/>
    <n v="1"/>
    <n v="1300"/>
    <x v="20"/>
    <x v="1"/>
    <x v="0"/>
    <x v="0"/>
    <n v="1300"/>
  </r>
  <r>
    <x v="33"/>
    <x v="30"/>
    <x v="9"/>
    <x v="2"/>
    <n v="4"/>
    <n v="700"/>
    <x v="26"/>
    <x v="2"/>
    <x v="0"/>
    <x v="0"/>
    <n v="2800"/>
  </r>
  <r>
    <x v="34"/>
    <x v="17"/>
    <x v="2"/>
    <x v="1"/>
    <n v="4"/>
    <n v="45000"/>
    <x v="27"/>
    <x v="5"/>
    <x v="1"/>
    <x v="0"/>
    <n v="180000"/>
  </r>
  <r>
    <x v="35"/>
    <x v="2"/>
    <x v="5"/>
    <x v="1"/>
    <n v="3"/>
    <n v="2300"/>
    <x v="3"/>
    <x v="2"/>
    <x v="3"/>
    <x v="0"/>
    <n v="6900"/>
  </r>
  <r>
    <x v="36"/>
    <x v="31"/>
    <x v="2"/>
    <x v="1"/>
    <n v="4"/>
    <n v="45100"/>
    <x v="13"/>
    <x v="2"/>
    <x v="2"/>
    <x v="0"/>
    <n v="180400"/>
  </r>
  <r>
    <x v="37"/>
    <x v="32"/>
    <x v="3"/>
    <x v="1"/>
    <n v="1"/>
    <n v="1100"/>
    <x v="26"/>
    <x v="1"/>
    <x v="0"/>
    <x v="2"/>
    <n v="1100"/>
  </r>
  <r>
    <x v="38"/>
    <x v="33"/>
    <x v="13"/>
    <x v="2"/>
    <n v="1"/>
    <n v="2000"/>
    <x v="28"/>
    <x v="4"/>
    <x v="3"/>
    <x v="0"/>
    <n v="2000"/>
  </r>
  <r>
    <x v="39"/>
    <x v="34"/>
    <x v="0"/>
    <x v="0"/>
    <n v="3"/>
    <n v="4500"/>
    <x v="26"/>
    <x v="7"/>
    <x v="3"/>
    <x v="0"/>
    <n v="13500"/>
  </r>
  <r>
    <x v="40"/>
    <x v="35"/>
    <x v="7"/>
    <x v="2"/>
    <n v="1"/>
    <n v="1500"/>
    <x v="29"/>
    <x v="1"/>
    <x v="2"/>
    <x v="2"/>
    <n v="1500"/>
  </r>
  <r>
    <x v="41"/>
    <x v="36"/>
    <x v="5"/>
    <x v="1"/>
    <n v="3"/>
    <n v="2500"/>
    <x v="19"/>
    <x v="0"/>
    <x v="3"/>
    <x v="0"/>
    <n v="7500"/>
  </r>
  <r>
    <x v="42"/>
    <x v="37"/>
    <x v="14"/>
    <x v="1"/>
    <n v="4"/>
    <n v="2000"/>
    <x v="30"/>
    <x v="2"/>
    <x v="3"/>
    <x v="1"/>
    <n v="8000"/>
  </r>
  <r>
    <x v="43"/>
    <x v="17"/>
    <x v="3"/>
    <x v="1"/>
    <n v="2"/>
    <n v="1000"/>
    <x v="22"/>
    <x v="7"/>
    <x v="3"/>
    <x v="0"/>
    <n v="2000"/>
  </r>
  <r>
    <x v="44"/>
    <x v="4"/>
    <x v="13"/>
    <x v="2"/>
    <n v="2"/>
    <n v="2100"/>
    <x v="31"/>
    <x v="3"/>
    <x v="1"/>
    <x v="0"/>
    <n v="4200"/>
  </r>
  <r>
    <x v="45"/>
    <x v="38"/>
    <x v="10"/>
    <x v="0"/>
    <n v="1"/>
    <n v="1400"/>
    <x v="32"/>
    <x v="3"/>
    <x v="2"/>
    <x v="0"/>
    <n v="1400"/>
  </r>
  <r>
    <x v="46"/>
    <x v="39"/>
    <x v="7"/>
    <x v="2"/>
    <n v="2"/>
    <n v="1500"/>
    <x v="13"/>
    <x v="6"/>
    <x v="1"/>
    <x v="2"/>
    <n v="3000"/>
  </r>
  <r>
    <x v="47"/>
    <x v="40"/>
    <x v="2"/>
    <x v="1"/>
    <n v="1"/>
    <n v="45200"/>
    <x v="4"/>
    <x v="2"/>
    <x v="3"/>
    <x v="2"/>
    <n v="45200"/>
  </r>
  <r>
    <x v="48"/>
    <x v="41"/>
    <x v="12"/>
    <x v="2"/>
    <n v="2"/>
    <n v="3100"/>
    <x v="33"/>
    <x v="3"/>
    <x v="3"/>
    <x v="0"/>
    <n v="6200"/>
  </r>
  <r>
    <x v="49"/>
    <x v="42"/>
    <x v="10"/>
    <x v="0"/>
    <n v="3"/>
    <n v="1400"/>
    <x v="25"/>
    <x v="1"/>
    <x v="3"/>
    <x v="2"/>
    <n v="4200"/>
  </r>
  <r>
    <x v="50"/>
    <x v="33"/>
    <x v="10"/>
    <x v="0"/>
    <n v="4"/>
    <n v="1400"/>
    <x v="4"/>
    <x v="0"/>
    <x v="0"/>
    <x v="0"/>
    <n v="5600"/>
  </r>
  <r>
    <x v="51"/>
    <x v="0"/>
    <x v="10"/>
    <x v="0"/>
    <n v="4"/>
    <n v="1100"/>
    <x v="34"/>
    <x v="4"/>
    <x v="1"/>
    <x v="1"/>
    <n v="4400"/>
  </r>
  <r>
    <x v="52"/>
    <x v="43"/>
    <x v="6"/>
    <x v="0"/>
    <n v="2"/>
    <n v="1300"/>
    <x v="9"/>
    <x v="1"/>
    <x v="1"/>
    <x v="0"/>
    <n v="2600"/>
  </r>
  <r>
    <x v="53"/>
    <x v="3"/>
    <x v="6"/>
    <x v="0"/>
    <n v="4"/>
    <n v="1300"/>
    <x v="8"/>
    <x v="4"/>
    <x v="3"/>
    <x v="0"/>
    <n v="5200"/>
  </r>
  <r>
    <x v="54"/>
    <x v="44"/>
    <x v="5"/>
    <x v="1"/>
    <n v="1"/>
    <n v="2400"/>
    <x v="26"/>
    <x v="4"/>
    <x v="3"/>
    <x v="0"/>
    <n v="2400"/>
  </r>
  <r>
    <x v="55"/>
    <x v="45"/>
    <x v="11"/>
    <x v="0"/>
    <n v="3"/>
    <n v="800"/>
    <x v="2"/>
    <x v="5"/>
    <x v="3"/>
    <x v="0"/>
    <n v="2400"/>
  </r>
  <r>
    <x v="56"/>
    <x v="46"/>
    <x v="3"/>
    <x v="1"/>
    <n v="3"/>
    <n v="1300"/>
    <x v="17"/>
    <x v="2"/>
    <x v="2"/>
    <x v="2"/>
    <n v="3900"/>
  </r>
  <r>
    <x v="57"/>
    <x v="47"/>
    <x v="9"/>
    <x v="2"/>
    <n v="3"/>
    <n v="800"/>
    <x v="35"/>
    <x v="1"/>
    <x v="1"/>
    <x v="2"/>
    <n v="2400"/>
  </r>
  <r>
    <x v="58"/>
    <x v="7"/>
    <x v="5"/>
    <x v="1"/>
    <n v="3"/>
    <n v="2700"/>
    <x v="32"/>
    <x v="2"/>
    <x v="0"/>
    <x v="0"/>
    <n v="8100"/>
  </r>
  <r>
    <x v="59"/>
    <x v="48"/>
    <x v="9"/>
    <x v="2"/>
    <n v="1"/>
    <n v="800"/>
    <x v="29"/>
    <x v="4"/>
    <x v="2"/>
    <x v="1"/>
    <n v="800"/>
  </r>
  <r>
    <x v="60"/>
    <x v="49"/>
    <x v="10"/>
    <x v="0"/>
    <n v="3"/>
    <n v="1200"/>
    <x v="18"/>
    <x v="5"/>
    <x v="3"/>
    <x v="0"/>
    <n v="3600"/>
  </r>
  <r>
    <x v="61"/>
    <x v="50"/>
    <x v="1"/>
    <x v="0"/>
    <n v="3"/>
    <n v="3700"/>
    <x v="24"/>
    <x v="5"/>
    <x v="1"/>
    <x v="1"/>
    <n v="11100"/>
  </r>
  <r>
    <x v="62"/>
    <x v="51"/>
    <x v="1"/>
    <x v="0"/>
    <n v="2"/>
    <n v="3900"/>
    <x v="30"/>
    <x v="5"/>
    <x v="2"/>
    <x v="0"/>
    <n v="7800"/>
  </r>
  <r>
    <x v="63"/>
    <x v="41"/>
    <x v="8"/>
    <x v="1"/>
    <n v="2"/>
    <n v="28100"/>
    <x v="35"/>
    <x v="4"/>
    <x v="1"/>
    <x v="0"/>
    <n v="56200"/>
  </r>
  <r>
    <x v="64"/>
    <x v="52"/>
    <x v="4"/>
    <x v="2"/>
    <n v="2"/>
    <n v="1800"/>
    <x v="34"/>
    <x v="7"/>
    <x v="2"/>
    <x v="0"/>
    <n v="3600"/>
  </r>
  <r>
    <x v="65"/>
    <x v="38"/>
    <x v="12"/>
    <x v="2"/>
    <n v="3"/>
    <n v="3100"/>
    <x v="31"/>
    <x v="3"/>
    <x v="0"/>
    <x v="0"/>
    <n v="9300"/>
  </r>
  <r>
    <x v="66"/>
    <x v="7"/>
    <x v="14"/>
    <x v="1"/>
    <n v="1"/>
    <n v="1700"/>
    <x v="36"/>
    <x v="1"/>
    <x v="1"/>
    <x v="0"/>
    <n v="1700"/>
  </r>
  <r>
    <x v="67"/>
    <x v="53"/>
    <x v="10"/>
    <x v="0"/>
    <n v="2"/>
    <n v="1200"/>
    <x v="12"/>
    <x v="5"/>
    <x v="0"/>
    <x v="0"/>
    <n v="2400"/>
  </r>
  <r>
    <x v="68"/>
    <x v="27"/>
    <x v="0"/>
    <x v="0"/>
    <n v="1"/>
    <n v="4500"/>
    <x v="7"/>
    <x v="7"/>
    <x v="1"/>
    <x v="0"/>
    <n v="4500"/>
  </r>
  <r>
    <x v="69"/>
    <x v="54"/>
    <x v="12"/>
    <x v="2"/>
    <n v="2"/>
    <n v="3200"/>
    <x v="37"/>
    <x v="6"/>
    <x v="3"/>
    <x v="0"/>
    <n v="6400"/>
  </r>
  <r>
    <x v="70"/>
    <x v="20"/>
    <x v="13"/>
    <x v="2"/>
    <n v="4"/>
    <n v="2200"/>
    <x v="13"/>
    <x v="6"/>
    <x v="1"/>
    <x v="0"/>
    <n v="8800"/>
  </r>
  <r>
    <x v="71"/>
    <x v="39"/>
    <x v="11"/>
    <x v="0"/>
    <n v="2"/>
    <n v="600"/>
    <x v="38"/>
    <x v="6"/>
    <x v="0"/>
    <x v="0"/>
    <n v="1200"/>
  </r>
  <r>
    <x v="72"/>
    <x v="55"/>
    <x v="4"/>
    <x v="2"/>
    <n v="1"/>
    <n v="1700"/>
    <x v="0"/>
    <x v="4"/>
    <x v="3"/>
    <x v="2"/>
    <n v="1700"/>
  </r>
  <r>
    <x v="73"/>
    <x v="56"/>
    <x v="3"/>
    <x v="1"/>
    <n v="2"/>
    <n v="1100"/>
    <x v="10"/>
    <x v="7"/>
    <x v="0"/>
    <x v="0"/>
    <n v="2200"/>
  </r>
  <r>
    <x v="74"/>
    <x v="23"/>
    <x v="9"/>
    <x v="2"/>
    <n v="4"/>
    <n v="900"/>
    <x v="8"/>
    <x v="5"/>
    <x v="2"/>
    <x v="0"/>
    <n v="3600"/>
  </r>
  <r>
    <x v="75"/>
    <x v="57"/>
    <x v="6"/>
    <x v="0"/>
    <n v="4"/>
    <n v="1500"/>
    <x v="9"/>
    <x v="2"/>
    <x v="1"/>
    <x v="0"/>
    <n v="6000"/>
  </r>
  <r>
    <x v="76"/>
    <x v="58"/>
    <x v="2"/>
    <x v="1"/>
    <n v="3"/>
    <n v="45000"/>
    <x v="28"/>
    <x v="0"/>
    <x v="1"/>
    <x v="0"/>
    <n v="135000"/>
  </r>
  <r>
    <x v="77"/>
    <x v="59"/>
    <x v="8"/>
    <x v="1"/>
    <n v="4"/>
    <n v="27800"/>
    <x v="10"/>
    <x v="4"/>
    <x v="1"/>
    <x v="1"/>
    <n v="111200"/>
  </r>
  <r>
    <x v="78"/>
    <x v="60"/>
    <x v="14"/>
    <x v="1"/>
    <n v="4"/>
    <n v="1900"/>
    <x v="1"/>
    <x v="2"/>
    <x v="1"/>
    <x v="2"/>
    <n v="7600"/>
  </r>
  <r>
    <x v="79"/>
    <x v="19"/>
    <x v="13"/>
    <x v="2"/>
    <n v="1"/>
    <n v="2400"/>
    <x v="32"/>
    <x v="7"/>
    <x v="1"/>
    <x v="0"/>
    <n v="2400"/>
  </r>
  <r>
    <x v="80"/>
    <x v="8"/>
    <x v="2"/>
    <x v="1"/>
    <n v="3"/>
    <n v="45000"/>
    <x v="39"/>
    <x v="6"/>
    <x v="3"/>
    <x v="0"/>
    <n v="135000"/>
  </r>
  <r>
    <x v="81"/>
    <x v="28"/>
    <x v="11"/>
    <x v="0"/>
    <n v="4"/>
    <n v="600"/>
    <x v="17"/>
    <x v="1"/>
    <x v="1"/>
    <x v="0"/>
    <n v="2400"/>
  </r>
  <r>
    <x v="82"/>
    <x v="45"/>
    <x v="1"/>
    <x v="0"/>
    <n v="1"/>
    <n v="3700"/>
    <x v="23"/>
    <x v="1"/>
    <x v="2"/>
    <x v="0"/>
    <n v="3700"/>
  </r>
  <r>
    <x v="83"/>
    <x v="61"/>
    <x v="5"/>
    <x v="1"/>
    <n v="2"/>
    <n v="2600"/>
    <x v="4"/>
    <x v="0"/>
    <x v="0"/>
    <x v="0"/>
    <n v="5200"/>
  </r>
  <r>
    <x v="84"/>
    <x v="62"/>
    <x v="0"/>
    <x v="0"/>
    <n v="1"/>
    <n v="4400"/>
    <x v="8"/>
    <x v="3"/>
    <x v="3"/>
    <x v="0"/>
    <n v="4400"/>
  </r>
  <r>
    <x v="85"/>
    <x v="10"/>
    <x v="13"/>
    <x v="2"/>
    <n v="1"/>
    <n v="2200"/>
    <x v="22"/>
    <x v="2"/>
    <x v="3"/>
    <x v="2"/>
    <n v="2200"/>
  </r>
  <r>
    <x v="86"/>
    <x v="63"/>
    <x v="0"/>
    <x v="0"/>
    <n v="4"/>
    <n v="4700"/>
    <x v="24"/>
    <x v="1"/>
    <x v="0"/>
    <x v="0"/>
    <n v="18800"/>
  </r>
  <r>
    <x v="87"/>
    <x v="64"/>
    <x v="1"/>
    <x v="0"/>
    <n v="3"/>
    <n v="3900"/>
    <x v="14"/>
    <x v="2"/>
    <x v="3"/>
    <x v="2"/>
    <n v="11700"/>
  </r>
  <r>
    <x v="88"/>
    <x v="65"/>
    <x v="9"/>
    <x v="2"/>
    <n v="3"/>
    <n v="900"/>
    <x v="23"/>
    <x v="4"/>
    <x v="2"/>
    <x v="0"/>
    <n v="2700"/>
  </r>
  <r>
    <x v="89"/>
    <x v="27"/>
    <x v="6"/>
    <x v="0"/>
    <n v="4"/>
    <n v="1400"/>
    <x v="16"/>
    <x v="6"/>
    <x v="0"/>
    <x v="0"/>
    <n v="5600"/>
  </r>
  <r>
    <x v="90"/>
    <x v="51"/>
    <x v="14"/>
    <x v="1"/>
    <n v="3"/>
    <n v="1900"/>
    <x v="38"/>
    <x v="6"/>
    <x v="1"/>
    <x v="0"/>
    <n v="5700"/>
  </r>
  <r>
    <x v="91"/>
    <x v="66"/>
    <x v="6"/>
    <x v="0"/>
    <n v="3"/>
    <n v="1300"/>
    <x v="40"/>
    <x v="3"/>
    <x v="1"/>
    <x v="0"/>
    <n v="3900"/>
  </r>
  <r>
    <x v="92"/>
    <x v="67"/>
    <x v="11"/>
    <x v="0"/>
    <n v="4"/>
    <n v="700"/>
    <x v="18"/>
    <x v="5"/>
    <x v="3"/>
    <x v="0"/>
    <n v="2800"/>
  </r>
  <r>
    <x v="93"/>
    <x v="68"/>
    <x v="4"/>
    <x v="2"/>
    <n v="3"/>
    <n v="1800"/>
    <x v="39"/>
    <x v="4"/>
    <x v="3"/>
    <x v="0"/>
    <n v="5400"/>
  </r>
  <r>
    <x v="94"/>
    <x v="69"/>
    <x v="8"/>
    <x v="1"/>
    <n v="3"/>
    <n v="27800"/>
    <x v="41"/>
    <x v="0"/>
    <x v="2"/>
    <x v="0"/>
    <n v="83400"/>
  </r>
  <r>
    <x v="95"/>
    <x v="70"/>
    <x v="1"/>
    <x v="0"/>
    <n v="4"/>
    <n v="3900"/>
    <x v="15"/>
    <x v="0"/>
    <x v="1"/>
    <x v="1"/>
    <n v="15600"/>
  </r>
  <r>
    <x v="96"/>
    <x v="71"/>
    <x v="1"/>
    <x v="0"/>
    <n v="4"/>
    <n v="3600"/>
    <x v="40"/>
    <x v="3"/>
    <x v="0"/>
    <x v="0"/>
    <n v="14400"/>
  </r>
  <r>
    <x v="97"/>
    <x v="72"/>
    <x v="1"/>
    <x v="0"/>
    <n v="2"/>
    <n v="4000"/>
    <x v="3"/>
    <x v="4"/>
    <x v="1"/>
    <x v="2"/>
    <n v="8000"/>
  </r>
  <r>
    <x v="98"/>
    <x v="73"/>
    <x v="12"/>
    <x v="2"/>
    <n v="3"/>
    <n v="3400"/>
    <x v="6"/>
    <x v="4"/>
    <x v="3"/>
    <x v="1"/>
    <n v="10200"/>
  </r>
  <r>
    <x v="99"/>
    <x v="72"/>
    <x v="4"/>
    <x v="2"/>
    <n v="3"/>
    <n v="1800"/>
    <x v="7"/>
    <x v="1"/>
    <x v="0"/>
    <x v="0"/>
    <n v="5400"/>
  </r>
  <r>
    <x v="100"/>
    <x v="74"/>
    <x v="3"/>
    <x v="1"/>
    <n v="2"/>
    <n v="1100"/>
    <x v="34"/>
    <x v="6"/>
    <x v="3"/>
    <x v="1"/>
    <n v="2200"/>
  </r>
  <r>
    <x v="101"/>
    <x v="75"/>
    <x v="13"/>
    <x v="2"/>
    <n v="3"/>
    <n v="2100"/>
    <x v="27"/>
    <x v="0"/>
    <x v="3"/>
    <x v="0"/>
    <n v="6300"/>
  </r>
  <r>
    <x v="102"/>
    <x v="76"/>
    <x v="8"/>
    <x v="1"/>
    <n v="1"/>
    <n v="27900"/>
    <x v="0"/>
    <x v="2"/>
    <x v="2"/>
    <x v="2"/>
    <n v="27900"/>
  </r>
  <r>
    <x v="103"/>
    <x v="39"/>
    <x v="8"/>
    <x v="1"/>
    <n v="2"/>
    <n v="28000"/>
    <x v="22"/>
    <x v="2"/>
    <x v="3"/>
    <x v="0"/>
    <n v="56000"/>
  </r>
  <r>
    <x v="104"/>
    <x v="4"/>
    <x v="4"/>
    <x v="2"/>
    <n v="4"/>
    <n v="1700"/>
    <x v="42"/>
    <x v="3"/>
    <x v="1"/>
    <x v="0"/>
    <n v="6800"/>
  </r>
  <r>
    <x v="105"/>
    <x v="77"/>
    <x v="6"/>
    <x v="0"/>
    <n v="1"/>
    <n v="1400"/>
    <x v="19"/>
    <x v="2"/>
    <x v="0"/>
    <x v="0"/>
    <n v="1400"/>
  </r>
  <r>
    <x v="106"/>
    <x v="19"/>
    <x v="11"/>
    <x v="0"/>
    <n v="3"/>
    <n v="500"/>
    <x v="14"/>
    <x v="5"/>
    <x v="0"/>
    <x v="2"/>
    <n v="1500"/>
  </r>
  <r>
    <x v="107"/>
    <x v="78"/>
    <x v="9"/>
    <x v="2"/>
    <n v="4"/>
    <n v="800"/>
    <x v="3"/>
    <x v="5"/>
    <x v="3"/>
    <x v="2"/>
    <n v="3200"/>
  </r>
  <r>
    <x v="108"/>
    <x v="79"/>
    <x v="13"/>
    <x v="2"/>
    <n v="1"/>
    <n v="2400"/>
    <x v="22"/>
    <x v="0"/>
    <x v="0"/>
    <x v="0"/>
    <n v="2400"/>
  </r>
  <r>
    <x v="109"/>
    <x v="80"/>
    <x v="0"/>
    <x v="0"/>
    <n v="1"/>
    <n v="4400"/>
    <x v="43"/>
    <x v="1"/>
    <x v="0"/>
    <x v="0"/>
    <n v="4400"/>
  </r>
  <r>
    <x v="110"/>
    <x v="81"/>
    <x v="9"/>
    <x v="2"/>
    <n v="4"/>
    <n v="900"/>
    <x v="36"/>
    <x v="3"/>
    <x v="2"/>
    <x v="0"/>
    <n v="3600"/>
  </r>
  <r>
    <x v="111"/>
    <x v="82"/>
    <x v="8"/>
    <x v="1"/>
    <n v="3"/>
    <n v="28000"/>
    <x v="19"/>
    <x v="0"/>
    <x v="3"/>
    <x v="1"/>
    <n v="84000"/>
  </r>
  <r>
    <x v="112"/>
    <x v="73"/>
    <x v="13"/>
    <x v="2"/>
    <n v="2"/>
    <n v="2000"/>
    <x v="1"/>
    <x v="0"/>
    <x v="0"/>
    <x v="0"/>
    <n v="4000"/>
  </r>
  <r>
    <x v="113"/>
    <x v="83"/>
    <x v="6"/>
    <x v="0"/>
    <n v="2"/>
    <n v="1200"/>
    <x v="13"/>
    <x v="3"/>
    <x v="3"/>
    <x v="0"/>
    <n v="2400"/>
  </r>
  <r>
    <x v="114"/>
    <x v="81"/>
    <x v="3"/>
    <x v="1"/>
    <n v="4"/>
    <n v="1200"/>
    <x v="9"/>
    <x v="5"/>
    <x v="3"/>
    <x v="2"/>
    <n v="4800"/>
  </r>
  <r>
    <x v="115"/>
    <x v="84"/>
    <x v="12"/>
    <x v="2"/>
    <n v="4"/>
    <n v="3000"/>
    <x v="35"/>
    <x v="2"/>
    <x v="1"/>
    <x v="1"/>
    <n v="12000"/>
  </r>
  <r>
    <x v="116"/>
    <x v="0"/>
    <x v="7"/>
    <x v="2"/>
    <n v="3"/>
    <n v="1300"/>
    <x v="7"/>
    <x v="2"/>
    <x v="3"/>
    <x v="2"/>
    <n v="3900"/>
  </r>
  <r>
    <x v="117"/>
    <x v="85"/>
    <x v="2"/>
    <x v="1"/>
    <n v="2"/>
    <n v="45100"/>
    <x v="23"/>
    <x v="6"/>
    <x v="3"/>
    <x v="0"/>
    <n v="90200"/>
  </r>
  <r>
    <x v="118"/>
    <x v="86"/>
    <x v="13"/>
    <x v="2"/>
    <n v="4"/>
    <n v="2200"/>
    <x v="40"/>
    <x v="6"/>
    <x v="3"/>
    <x v="0"/>
    <n v="8800"/>
  </r>
  <r>
    <x v="119"/>
    <x v="9"/>
    <x v="7"/>
    <x v="2"/>
    <n v="3"/>
    <n v="1300"/>
    <x v="13"/>
    <x v="4"/>
    <x v="1"/>
    <x v="1"/>
    <n v="3900"/>
  </r>
  <r>
    <x v="120"/>
    <x v="87"/>
    <x v="4"/>
    <x v="2"/>
    <n v="3"/>
    <n v="1800"/>
    <x v="15"/>
    <x v="2"/>
    <x v="1"/>
    <x v="0"/>
    <n v="5400"/>
  </r>
  <r>
    <x v="121"/>
    <x v="66"/>
    <x v="7"/>
    <x v="2"/>
    <n v="3"/>
    <n v="1300"/>
    <x v="38"/>
    <x v="5"/>
    <x v="2"/>
    <x v="1"/>
    <n v="3900"/>
  </r>
  <r>
    <x v="122"/>
    <x v="88"/>
    <x v="6"/>
    <x v="0"/>
    <n v="4"/>
    <n v="1200"/>
    <x v="24"/>
    <x v="4"/>
    <x v="1"/>
    <x v="1"/>
    <n v="4800"/>
  </r>
  <r>
    <x v="123"/>
    <x v="89"/>
    <x v="4"/>
    <x v="2"/>
    <n v="1"/>
    <n v="1800"/>
    <x v="6"/>
    <x v="7"/>
    <x v="3"/>
    <x v="0"/>
    <n v="1800"/>
  </r>
  <r>
    <x v="124"/>
    <x v="54"/>
    <x v="10"/>
    <x v="0"/>
    <n v="4"/>
    <n v="1000"/>
    <x v="44"/>
    <x v="0"/>
    <x v="0"/>
    <x v="0"/>
    <n v="4000"/>
  </r>
  <r>
    <x v="125"/>
    <x v="50"/>
    <x v="12"/>
    <x v="2"/>
    <n v="1"/>
    <n v="3200"/>
    <x v="40"/>
    <x v="0"/>
    <x v="2"/>
    <x v="0"/>
    <n v="3200"/>
  </r>
  <r>
    <x v="126"/>
    <x v="90"/>
    <x v="3"/>
    <x v="1"/>
    <n v="2"/>
    <n v="1400"/>
    <x v="27"/>
    <x v="3"/>
    <x v="1"/>
    <x v="0"/>
    <n v="2800"/>
  </r>
  <r>
    <x v="127"/>
    <x v="91"/>
    <x v="4"/>
    <x v="2"/>
    <n v="2"/>
    <n v="1900"/>
    <x v="4"/>
    <x v="5"/>
    <x v="0"/>
    <x v="2"/>
    <n v="3800"/>
  </r>
  <r>
    <x v="128"/>
    <x v="65"/>
    <x v="12"/>
    <x v="2"/>
    <n v="2"/>
    <n v="3200"/>
    <x v="38"/>
    <x v="5"/>
    <x v="3"/>
    <x v="2"/>
    <n v="6400"/>
  </r>
  <r>
    <x v="129"/>
    <x v="92"/>
    <x v="8"/>
    <x v="1"/>
    <n v="1"/>
    <n v="28200"/>
    <x v="30"/>
    <x v="6"/>
    <x v="0"/>
    <x v="0"/>
    <n v="28200"/>
  </r>
  <r>
    <x v="130"/>
    <x v="93"/>
    <x v="12"/>
    <x v="2"/>
    <n v="4"/>
    <n v="3200"/>
    <x v="6"/>
    <x v="5"/>
    <x v="1"/>
    <x v="0"/>
    <n v="12800"/>
  </r>
  <r>
    <x v="131"/>
    <x v="53"/>
    <x v="6"/>
    <x v="0"/>
    <n v="2"/>
    <n v="1300"/>
    <x v="45"/>
    <x v="5"/>
    <x v="0"/>
    <x v="0"/>
    <n v="2600"/>
  </r>
  <r>
    <x v="132"/>
    <x v="94"/>
    <x v="2"/>
    <x v="1"/>
    <n v="3"/>
    <n v="45200"/>
    <x v="10"/>
    <x v="5"/>
    <x v="0"/>
    <x v="0"/>
    <n v="135600"/>
  </r>
  <r>
    <x v="133"/>
    <x v="31"/>
    <x v="2"/>
    <x v="1"/>
    <n v="2"/>
    <n v="45100"/>
    <x v="46"/>
    <x v="1"/>
    <x v="1"/>
    <x v="0"/>
    <n v="90200"/>
  </r>
  <r>
    <x v="134"/>
    <x v="95"/>
    <x v="12"/>
    <x v="2"/>
    <n v="4"/>
    <n v="3400"/>
    <x v="4"/>
    <x v="5"/>
    <x v="0"/>
    <x v="0"/>
    <n v="13600"/>
  </r>
  <r>
    <x v="135"/>
    <x v="96"/>
    <x v="4"/>
    <x v="2"/>
    <n v="3"/>
    <n v="1900"/>
    <x v="9"/>
    <x v="5"/>
    <x v="2"/>
    <x v="0"/>
    <n v="5700"/>
  </r>
  <r>
    <x v="136"/>
    <x v="97"/>
    <x v="6"/>
    <x v="0"/>
    <n v="4"/>
    <n v="1600"/>
    <x v="47"/>
    <x v="6"/>
    <x v="2"/>
    <x v="2"/>
    <n v="6400"/>
  </r>
  <r>
    <x v="137"/>
    <x v="98"/>
    <x v="3"/>
    <x v="1"/>
    <n v="2"/>
    <n v="1400"/>
    <x v="27"/>
    <x v="0"/>
    <x v="2"/>
    <x v="0"/>
    <n v="2800"/>
  </r>
  <r>
    <x v="138"/>
    <x v="78"/>
    <x v="3"/>
    <x v="1"/>
    <n v="1"/>
    <n v="1100"/>
    <x v="9"/>
    <x v="3"/>
    <x v="2"/>
    <x v="0"/>
    <n v="1100"/>
  </r>
  <r>
    <x v="139"/>
    <x v="99"/>
    <x v="7"/>
    <x v="2"/>
    <n v="1"/>
    <n v="1500"/>
    <x v="16"/>
    <x v="5"/>
    <x v="0"/>
    <x v="0"/>
    <n v="1500"/>
  </r>
  <r>
    <x v="140"/>
    <x v="62"/>
    <x v="12"/>
    <x v="2"/>
    <n v="4"/>
    <n v="3400"/>
    <x v="43"/>
    <x v="7"/>
    <x v="0"/>
    <x v="0"/>
    <n v="13600"/>
  </r>
  <r>
    <x v="141"/>
    <x v="33"/>
    <x v="13"/>
    <x v="2"/>
    <n v="4"/>
    <n v="2400"/>
    <x v="25"/>
    <x v="6"/>
    <x v="0"/>
    <x v="0"/>
    <n v="9600"/>
  </r>
  <r>
    <x v="142"/>
    <x v="100"/>
    <x v="4"/>
    <x v="2"/>
    <n v="3"/>
    <n v="1800"/>
    <x v="18"/>
    <x v="2"/>
    <x v="1"/>
    <x v="0"/>
    <n v="5400"/>
  </r>
  <r>
    <x v="143"/>
    <x v="83"/>
    <x v="0"/>
    <x v="0"/>
    <n v="2"/>
    <n v="4500"/>
    <x v="5"/>
    <x v="3"/>
    <x v="1"/>
    <x v="1"/>
    <n v="9000"/>
  </r>
  <r>
    <x v="144"/>
    <x v="101"/>
    <x v="8"/>
    <x v="1"/>
    <n v="4"/>
    <n v="27900"/>
    <x v="10"/>
    <x v="6"/>
    <x v="2"/>
    <x v="0"/>
    <n v="111600"/>
  </r>
  <r>
    <x v="145"/>
    <x v="102"/>
    <x v="9"/>
    <x v="2"/>
    <n v="3"/>
    <n v="800"/>
    <x v="9"/>
    <x v="3"/>
    <x v="2"/>
    <x v="1"/>
    <n v="2400"/>
  </r>
  <r>
    <x v="146"/>
    <x v="35"/>
    <x v="9"/>
    <x v="2"/>
    <n v="3"/>
    <n v="900"/>
    <x v="31"/>
    <x v="2"/>
    <x v="1"/>
    <x v="0"/>
    <n v="2700"/>
  </r>
  <r>
    <x v="147"/>
    <x v="103"/>
    <x v="11"/>
    <x v="0"/>
    <n v="2"/>
    <n v="600"/>
    <x v="7"/>
    <x v="0"/>
    <x v="3"/>
    <x v="1"/>
    <n v="1200"/>
  </r>
  <r>
    <x v="148"/>
    <x v="104"/>
    <x v="11"/>
    <x v="0"/>
    <n v="2"/>
    <n v="400"/>
    <x v="44"/>
    <x v="2"/>
    <x v="3"/>
    <x v="0"/>
    <n v="800"/>
  </r>
  <r>
    <x v="149"/>
    <x v="36"/>
    <x v="2"/>
    <x v="1"/>
    <n v="3"/>
    <n v="44800"/>
    <x v="27"/>
    <x v="4"/>
    <x v="1"/>
    <x v="0"/>
    <n v="1344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0DEE90-CD5A-4158-85D9-EFC78683F7D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9" firstHeaderRow="1" firstDataRow="1" firstDataCol="1"/>
  <pivotFields count="13">
    <pivotField showAll="0"/>
    <pivotField numFmtId="164" showAll="0">
      <items count="106">
        <item x="35"/>
        <item x="95"/>
        <item x="18"/>
        <item x="61"/>
        <item x="0"/>
        <item x="7"/>
        <item x="26"/>
        <item x="65"/>
        <item x="83"/>
        <item x="40"/>
        <item x="19"/>
        <item x="38"/>
        <item x="5"/>
        <item x="75"/>
        <item x="27"/>
        <item x="54"/>
        <item x="60"/>
        <item x="36"/>
        <item x="56"/>
        <item x="14"/>
        <item x="80"/>
        <item x="10"/>
        <item x="46"/>
        <item x="68"/>
        <item x="25"/>
        <item x="74"/>
        <item x="89"/>
        <item x="42"/>
        <item x="12"/>
        <item x="2"/>
        <item x="3"/>
        <item x="11"/>
        <item x="34"/>
        <item x="13"/>
        <item x="17"/>
        <item x="43"/>
        <item x="28"/>
        <item x="92"/>
        <item x="55"/>
        <item x="99"/>
        <item x="58"/>
        <item x="101"/>
        <item x="72"/>
        <item x="21"/>
        <item x="47"/>
        <item x="97"/>
        <item x="66"/>
        <item x="23"/>
        <item x="96"/>
        <item x="4"/>
        <item x="93"/>
        <item x="45"/>
        <item x="6"/>
        <item x="8"/>
        <item x="57"/>
        <item x="63"/>
        <item x="77"/>
        <item x="88"/>
        <item x="73"/>
        <item x="41"/>
        <item x="84"/>
        <item x="78"/>
        <item x="71"/>
        <item x="91"/>
        <item x="100"/>
        <item x="85"/>
        <item x="94"/>
        <item x="30"/>
        <item x="59"/>
        <item x="70"/>
        <item x="90"/>
        <item x="31"/>
        <item x="49"/>
        <item x="52"/>
        <item x="15"/>
        <item x="76"/>
        <item x="24"/>
        <item x="37"/>
        <item x="20"/>
        <item x="50"/>
        <item x="69"/>
        <item x="62"/>
        <item x="67"/>
        <item x="102"/>
        <item x="22"/>
        <item x="103"/>
        <item x="79"/>
        <item x="51"/>
        <item x="33"/>
        <item x="104"/>
        <item x="98"/>
        <item x="86"/>
        <item x="39"/>
        <item x="16"/>
        <item x="29"/>
        <item x="44"/>
        <item x="87"/>
        <item x="48"/>
        <item x="9"/>
        <item x="32"/>
        <item x="1"/>
        <item x="64"/>
        <item x="81"/>
        <item x="53"/>
        <item x="82"/>
        <item t="default"/>
      </items>
    </pivotField>
    <pivotField axis="axisRow" showAll="0" sortType="descending">
      <items count="16">
        <item x="7"/>
        <item x="6"/>
        <item x="0"/>
        <item x="5"/>
        <item x="4"/>
        <item x="14"/>
        <item x="2"/>
        <item x="1"/>
        <item x="8"/>
        <item x="12"/>
        <item x="10"/>
        <item x="9"/>
        <item x="13"/>
        <item x="11"/>
        <item x="3"/>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pivotField showAll="0"/>
    <pivotField showAll="0">
      <items count="9">
        <item x="4"/>
        <item x="2"/>
        <item x="1"/>
        <item x="5"/>
        <item x="6"/>
        <item x="7"/>
        <item x="3"/>
        <item x="0"/>
        <item t="default"/>
      </items>
    </pivotField>
    <pivotField showAll="0">
      <items count="5">
        <item x="1"/>
        <item x="0"/>
        <item x="3"/>
        <item x="2"/>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6">
    <i>
      <x v="6"/>
    </i>
    <i>
      <x v="8"/>
    </i>
    <i>
      <x v="7"/>
    </i>
    <i>
      <x v="9"/>
    </i>
    <i>
      <x v="2"/>
    </i>
    <i>
      <x v="4"/>
    </i>
    <i>
      <x v="12"/>
    </i>
    <i>
      <x v="1"/>
    </i>
    <i>
      <x v="3"/>
    </i>
    <i>
      <x v="11"/>
    </i>
    <i>
      <x v="14"/>
    </i>
    <i>
      <x v="10"/>
    </i>
    <i>
      <x/>
    </i>
    <i>
      <x v="5"/>
    </i>
    <i>
      <x v="13"/>
    </i>
    <i t="grand">
      <x/>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752D87-25A6-44FB-BFF1-402A2F77412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3">
    <pivotField showAll="0"/>
    <pivotField numFmtId="164" showAll="0">
      <items count="106">
        <item x="35"/>
        <item x="95"/>
        <item x="18"/>
        <item x="61"/>
        <item x="0"/>
        <item x="7"/>
        <item x="26"/>
        <item x="65"/>
        <item x="83"/>
        <item x="40"/>
        <item x="19"/>
        <item x="38"/>
        <item x="5"/>
        <item x="75"/>
        <item x="27"/>
        <item x="54"/>
        <item x="60"/>
        <item x="36"/>
        <item x="56"/>
        <item x="14"/>
        <item x="80"/>
        <item x="10"/>
        <item x="46"/>
        <item x="68"/>
        <item x="25"/>
        <item x="74"/>
        <item x="89"/>
        <item x="42"/>
        <item x="12"/>
        <item x="2"/>
        <item x="3"/>
        <item x="11"/>
        <item x="34"/>
        <item x="13"/>
        <item x="17"/>
        <item x="43"/>
        <item x="28"/>
        <item x="92"/>
        <item x="55"/>
        <item x="99"/>
        <item x="58"/>
        <item x="101"/>
        <item x="72"/>
        <item x="21"/>
        <item x="47"/>
        <item x="97"/>
        <item x="66"/>
        <item x="23"/>
        <item x="96"/>
        <item x="4"/>
        <item x="93"/>
        <item x="45"/>
        <item x="6"/>
        <item x="8"/>
        <item x="57"/>
        <item x="63"/>
        <item x="77"/>
        <item x="88"/>
        <item x="73"/>
        <item x="41"/>
        <item x="84"/>
        <item x="78"/>
        <item x="71"/>
        <item x="91"/>
        <item x="100"/>
        <item x="85"/>
        <item x="94"/>
        <item x="30"/>
        <item x="59"/>
        <item x="70"/>
        <item x="90"/>
        <item x="31"/>
        <item x="49"/>
        <item x="52"/>
        <item x="15"/>
        <item x="76"/>
        <item x="24"/>
        <item x="37"/>
        <item x="20"/>
        <item x="50"/>
        <item x="69"/>
        <item x="62"/>
        <item x="67"/>
        <item x="102"/>
        <item x="22"/>
        <item x="103"/>
        <item x="79"/>
        <item x="51"/>
        <item x="33"/>
        <item x="104"/>
        <item x="98"/>
        <item x="86"/>
        <item x="39"/>
        <item x="16"/>
        <item x="29"/>
        <item x="44"/>
        <item x="87"/>
        <item x="48"/>
        <item x="9"/>
        <item x="32"/>
        <item x="1"/>
        <item x="64"/>
        <item x="81"/>
        <item x="53"/>
        <item x="82"/>
        <item t="default"/>
      </items>
    </pivotField>
    <pivotField showAll="0"/>
    <pivotField axis="axisRow" showAll="0">
      <items count="4">
        <item x="1"/>
        <item x="2"/>
        <item x="0"/>
        <item t="default"/>
      </items>
    </pivotField>
    <pivotField showAll="0"/>
    <pivotField showAll="0"/>
    <pivotField showAll="0"/>
    <pivotField showAll="0">
      <items count="9">
        <item x="4"/>
        <item x="2"/>
        <item x="1"/>
        <item x="5"/>
        <item x="6"/>
        <item x="7"/>
        <item x="3"/>
        <item x="0"/>
        <item t="default"/>
      </items>
    </pivotField>
    <pivotField showAll="0">
      <items count="5">
        <item x="1"/>
        <item x="0"/>
        <item x="3"/>
        <item x="2"/>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i>
    <i>
      <x v="1"/>
    </i>
    <i>
      <x v="2"/>
    </i>
    <i t="grand">
      <x/>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C5D85F-4233-4493-9331-E3E39FD1EB1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10" firstHeaderRow="1" firstDataRow="1" firstDataCol="1"/>
  <pivotFields count="13">
    <pivotField showAll="0"/>
    <pivotField numFmtId="164" showAll="0">
      <items count="106">
        <item x="35"/>
        <item x="95"/>
        <item x="18"/>
        <item x="61"/>
        <item x="0"/>
        <item x="7"/>
        <item x="26"/>
        <item x="65"/>
        <item x="83"/>
        <item x="40"/>
        <item x="19"/>
        <item x="38"/>
        <item x="5"/>
        <item x="75"/>
        <item x="27"/>
        <item x="54"/>
        <item x="60"/>
        <item x="36"/>
        <item x="56"/>
        <item x="14"/>
        <item x="80"/>
        <item x="10"/>
        <item x="46"/>
        <item x="68"/>
        <item x="25"/>
        <item x="74"/>
        <item x="89"/>
        <item x="42"/>
        <item x="12"/>
        <item x="2"/>
        <item x="3"/>
        <item x="11"/>
        <item x="34"/>
        <item x="13"/>
        <item x="17"/>
        <item x="43"/>
        <item x="28"/>
        <item x="92"/>
        <item x="55"/>
        <item x="99"/>
        <item x="58"/>
        <item x="101"/>
        <item x="72"/>
        <item x="21"/>
        <item x="47"/>
        <item x="97"/>
        <item x="66"/>
        <item x="23"/>
        <item x="96"/>
        <item x="4"/>
        <item x="93"/>
        <item x="45"/>
        <item x="6"/>
        <item x="8"/>
        <item x="57"/>
        <item x="63"/>
        <item x="77"/>
        <item x="88"/>
        <item x="73"/>
        <item x="41"/>
        <item x="84"/>
        <item x="78"/>
        <item x="71"/>
        <item x="91"/>
        <item x="100"/>
        <item x="85"/>
        <item x="94"/>
        <item x="30"/>
        <item x="59"/>
        <item x="70"/>
        <item x="90"/>
        <item x="31"/>
        <item x="49"/>
        <item x="52"/>
        <item x="15"/>
        <item x="76"/>
        <item x="24"/>
        <item x="37"/>
        <item x="20"/>
        <item x="50"/>
        <item x="69"/>
        <item x="62"/>
        <item x="67"/>
        <item x="102"/>
        <item x="22"/>
        <item x="103"/>
        <item x="79"/>
        <item x="51"/>
        <item x="33"/>
        <item x="104"/>
        <item x="98"/>
        <item x="86"/>
        <item x="39"/>
        <item x="16"/>
        <item x="29"/>
        <item x="44"/>
        <item x="87"/>
        <item x="48"/>
        <item x="9"/>
        <item x="32"/>
        <item x="1"/>
        <item x="64"/>
        <item x="81"/>
        <item x="53"/>
        <item x="82"/>
        <item t="default"/>
      </items>
    </pivotField>
    <pivotField showAll="0"/>
    <pivotField showAll="0">
      <items count="4">
        <item x="1"/>
        <item x="2"/>
        <item x="0"/>
        <item t="default"/>
      </items>
    </pivotField>
    <pivotField showAll="0"/>
    <pivotField showAll="0"/>
    <pivotField showAll="0"/>
    <pivotField showAll="0">
      <items count="9">
        <item x="4"/>
        <item x="2"/>
        <item x="1"/>
        <item x="5"/>
        <item x="6"/>
        <item x="7"/>
        <item x="3"/>
        <item x="0"/>
        <item t="default"/>
      </items>
    </pivotField>
    <pivotField showAll="0">
      <items count="5">
        <item x="1"/>
        <item x="0"/>
        <item x="3"/>
        <item x="2"/>
        <item t="default"/>
      </items>
    </pivotField>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7">
    <i>
      <x v="1"/>
    </i>
    <i>
      <x v="2"/>
    </i>
    <i>
      <x v="3"/>
    </i>
    <i>
      <x v="4"/>
    </i>
    <i>
      <x v="5"/>
    </i>
    <i>
      <x v="6"/>
    </i>
    <i t="grand">
      <x/>
    </i>
  </rowItems>
  <colItems count="1">
    <i/>
  </colItems>
  <dataFields count="1">
    <dataField name="Sum of Sales" fld="10" baseField="0" baseItem="0"/>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FAA5E7-EB54-4254-923B-5F14CB5E9B64}"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3">
    <pivotField showAll="0"/>
    <pivotField numFmtId="164" showAll="0">
      <items count="106">
        <item x="35"/>
        <item x="95"/>
        <item x="18"/>
        <item x="61"/>
        <item x="0"/>
        <item x="7"/>
        <item x="26"/>
        <item x="65"/>
        <item x="83"/>
        <item x="40"/>
        <item x="19"/>
        <item x="38"/>
        <item x="5"/>
        <item x="75"/>
        <item x="27"/>
        <item x="54"/>
        <item x="60"/>
        <item x="36"/>
        <item x="56"/>
        <item x="14"/>
        <item x="80"/>
        <item x="10"/>
        <item x="46"/>
        <item x="68"/>
        <item x="25"/>
        <item x="74"/>
        <item x="89"/>
        <item x="42"/>
        <item x="12"/>
        <item x="2"/>
        <item x="3"/>
        <item x="11"/>
        <item x="34"/>
        <item x="13"/>
        <item x="17"/>
        <item x="43"/>
        <item x="28"/>
        <item x="92"/>
        <item x="55"/>
        <item x="99"/>
        <item x="58"/>
        <item x="101"/>
        <item x="72"/>
        <item x="21"/>
        <item x="47"/>
        <item x="97"/>
        <item x="66"/>
        <item x="23"/>
        <item x="96"/>
        <item x="4"/>
        <item x="93"/>
        <item x="45"/>
        <item x="6"/>
        <item x="8"/>
        <item x="57"/>
        <item x="63"/>
        <item x="77"/>
        <item x="88"/>
        <item x="73"/>
        <item x="41"/>
        <item x="84"/>
        <item x="78"/>
        <item x="71"/>
        <item x="91"/>
        <item x="100"/>
        <item x="85"/>
        <item x="94"/>
        <item x="30"/>
        <item x="59"/>
        <item x="70"/>
        <item x="90"/>
        <item x="31"/>
        <item x="49"/>
        <item x="52"/>
        <item x="15"/>
        <item x="76"/>
        <item x="24"/>
        <item x="37"/>
        <item x="20"/>
        <item x="50"/>
        <item x="69"/>
        <item x="62"/>
        <item x="67"/>
        <item x="102"/>
        <item x="22"/>
        <item x="103"/>
        <item x="79"/>
        <item x="51"/>
        <item x="33"/>
        <item x="104"/>
        <item x="98"/>
        <item x="86"/>
        <item x="39"/>
        <item x="16"/>
        <item x="29"/>
        <item x="44"/>
        <item x="87"/>
        <item x="48"/>
        <item x="9"/>
        <item x="32"/>
        <item x="1"/>
        <item x="64"/>
        <item x="81"/>
        <item x="53"/>
        <item x="82"/>
        <item t="default"/>
      </items>
    </pivotField>
    <pivotField showAll="0"/>
    <pivotField axis="axisRow" showAll="0">
      <items count="4">
        <item x="1"/>
        <item x="2"/>
        <item x="0"/>
        <item t="default"/>
      </items>
    </pivotField>
    <pivotField dataField="1" showAll="0"/>
    <pivotField showAll="0"/>
    <pivotField showAll="0"/>
    <pivotField showAll="0">
      <items count="9">
        <item x="4"/>
        <item x="2"/>
        <item x="1"/>
        <item x="5"/>
        <item x="6"/>
        <item x="7"/>
        <item x="3"/>
        <item x="0"/>
        <item t="default"/>
      </items>
    </pivotField>
    <pivotField showAll="0">
      <items count="5">
        <item x="1"/>
        <item x="0"/>
        <item x="3"/>
        <item x="2"/>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4">
    <i>
      <x/>
    </i>
    <i>
      <x v="1"/>
    </i>
    <i>
      <x v="2"/>
    </i>
    <i t="grand">
      <x/>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B20045-38BB-4494-8363-61DB0C543F1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2" firstHeaderRow="1" firstDataRow="1" firstDataCol="1"/>
  <pivotFields count="13">
    <pivotField showAll="0"/>
    <pivotField numFmtId="164" showAll="0">
      <items count="106">
        <item x="35"/>
        <item x="95"/>
        <item x="18"/>
        <item x="61"/>
        <item x="0"/>
        <item x="7"/>
        <item x="26"/>
        <item x="65"/>
        <item x="83"/>
        <item x="40"/>
        <item x="19"/>
        <item x="38"/>
        <item x="5"/>
        <item x="75"/>
        <item x="27"/>
        <item x="54"/>
        <item x="60"/>
        <item x="36"/>
        <item x="56"/>
        <item x="14"/>
        <item x="80"/>
        <item x="10"/>
        <item x="46"/>
        <item x="68"/>
        <item x="25"/>
        <item x="74"/>
        <item x="89"/>
        <item x="42"/>
        <item x="12"/>
        <item x="2"/>
        <item x="3"/>
        <item x="11"/>
        <item x="34"/>
        <item x="13"/>
        <item x="17"/>
        <item x="43"/>
        <item x="28"/>
        <item x="92"/>
        <item x="55"/>
        <item x="99"/>
        <item x="58"/>
        <item x="101"/>
        <item x="72"/>
        <item x="21"/>
        <item x="47"/>
        <item x="97"/>
        <item x="66"/>
        <item x="23"/>
        <item x="96"/>
        <item x="4"/>
        <item x="93"/>
        <item x="45"/>
        <item x="6"/>
        <item x="8"/>
        <item x="57"/>
        <item x="63"/>
        <item x="77"/>
        <item x="88"/>
        <item x="73"/>
        <item x="41"/>
        <item x="84"/>
        <item x="78"/>
        <item x="71"/>
        <item x="91"/>
        <item x="100"/>
        <item x="85"/>
        <item x="94"/>
        <item x="30"/>
        <item x="59"/>
        <item x="70"/>
        <item x="90"/>
        <item x="31"/>
        <item x="49"/>
        <item x="52"/>
        <item x="15"/>
        <item x="76"/>
        <item x="24"/>
        <item x="37"/>
        <item x="20"/>
        <item x="50"/>
        <item x="69"/>
        <item x="62"/>
        <item x="67"/>
        <item x="102"/>
        <item x="22"/>
        <item x="103"/>
        <item x="79"/>
        <item x="51"/>
        <item x="33"/>
        <item x="104"/>
        <item x="98"/>
        <item x="86"/>
        <item x="39"/>
        <item x="16"/>
        <item x="29"/>
        <item x="44"/>
        <item x="87"/>
        <item x="48"/>
        <item x="9"/>
        <item x="32"/>
        <item x="1"/>
        <item x="64"/>
        <item x="81"/>
        <item x="53"/>
        <item x="82"/>
        <item t="default"/>
      </items>
    </pivotField>
    <pivotField showAll="0"/>
    <pivotField showAll="0">
      <items count="4">
        <item x="1"/>
        <item x="2"/>
        <item x="0"/>
        <item t="default"/>
      </items>
    </pivotField>
    <pivotField showAll="0"/>
    <pivotField showAll="0"/>
    <pivotField axis="axisRow" showAll="0" sortType="ascending">
      <items count="49">
        <item x="20"/>
        <item x="33"/>
        <item x="42"/>
        <item x="19"/>
        <item x="40"/>
        <item x="22"/>
        <item x="14"/>
        <item x="37"/>
        <item x="4"/>
        <item x="13"/>
        <item x="43"/>
        <item x="24"/>
        <item x="39"/>
        <item x="7"/>
        <item x="25"/>
        <item x="17"/>
        <item x="0"/>
        <item x="27"/>
        <item x="30"/>
        <item x="11"/>
        <item x="46"/>
        <item x="5"/>
        <item x="16"/>
        <item x="10"/>
        <item x="26"/>
        <item x="28"/>
        <item x="32"/>
        <item x="8"/>
        <item x="36"/>
        <item x="12"/>
        <item x="2"/>
        <item x="41"/>
        <item x="1"/>
        <item x="6"/>
        <item x="45"/>
        <item x="3"/>
        <item x="35"/>
        <item x="29"/>
        <item x="44"/>
        <item x="23"/>
        <item x="18"/>
        <item x="31"/>
        <item x="9"/>
        <item x="47"/>
        <item x="21"/>
        <item x="34"/>
        <item x="15"/>
        <item x="38"/>
        <item t="default"/>
      </items>
      <autoSortScope>
        <pivotArea dataOnly="0" outline="0" fieldPosition="0">
          <references count="1">
            <reference field="4294967294" count="1" selected="0">
              <x v="0"/>
            </reference>
          </references>
        </pivotArea>
      </autoSortScope>
    </pivotField>
    <pivotField showAll="0">
      <items count="9">
        <item x="4"/>
        <item x="2"/>
        <item x="1"/>
        <item x="5"/>
        <item x="6"/>
        <item x="7"/>
        <item x="3"/>
        <item x="0"/>
        <item t="default"/>
      </items>
    </pivotField>
    <pivotField showAll="0">
      <items count="5">
        <item x="1"/>
        <item x="0"/>
        <item x="3"/>
        <item x="2"/>
        <item t="default"/>
      </items>
    </pivotField>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49">
    <i>
      <x v="19"/>
    </i>
    <i>
      <x v="37"/>
    </i>
    <i>
      <x v="34"/>
    </i>
    <i>
      <x v="44"/>
    </i>
    <i>
      <x v="38"/>
    </i>
    <i>
      <x v="28"/>
    </i>
    <i>
      <x v="1"/>
    </i>
    <i>
      <x v="7"/>
    </i>
    <i>
      <x v="43"/>
    </i>
    <i>
      <x v="2"/>
    </i>
    <i>
      <x/>
    </i>
    <i>
      <x v="45"/>
    </i>
    <i>
      <x v="26"/>
    </i>
    <i>
      <x v="22"/>
    </i>
    <i>
      <x v="40"/>
    </i>
    <i>
      <x v="29"/>
    </i>
    <i>
      <x v="21"/>
    </i>
    <i>
      <x v="27"/>
    </i>
    <i>
      <x v="14"/>
    </i>
    <i>
      <x v="32"/>
    </i>
    <i>
      <x v="41"/>
    </i>
    <i>
      <x v="6"/>
    </i>
    <i>
      <x v="47"/>
    </i>
    <i>
      <x v="13"/>
    </i>
    <i>
      <x v="10"/>
    </i>
    <i>
      <x v="24"/>
    </i>
    <i>
      <x v="15"/>
    </i>
    <i>
      <x v="42"/>
    </i>
    <i>
      <x v="4"/>
    </i>
    <i>
      <x v="16"/>
    </i>
    <i>
      <x v="35"/>
    </i>
    <i>
      <x v="18"/>
    </i>
    <i>
      <x v="11"/>
    </i>
    <i>
      <x v="30"/>
    </i>
    <i>
      <x v="5"/>
    </i>
    <i>
      <x v="36"/>
    </i>
    <i>
      <x v="46"/>
    </i>
    <i>
      <x v="31"/>
    </i>
    <i>
      <x v="33"/>
    </i>
    <i>
      <x v="8"/>
    </i>
    <i>
      <x v="20"/>
    </i>
    <i>
      <x v="3"/>
    </i>
    <i>
      <x v="39"/>
    </i>
    <i>
      <x v="25"/>
    </i>
    <i>
      <x v="12"/>
    </i>
    <i>
      <x v="9"/>
    </i>
    <i>
      <x v="17"/>
    </i>
    <i>
      <x v="23"/>
    </i>
    <i t="grand">
      <x/>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0D4106-5079-4C63-870A-4CA460FCF3FB}"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3">
    <pivotField showAll="0"/>
    <pivotField numFmtId="164" showAll="0">
      <items count="106">
        <item x="35"/>
        <item x="95"/>
        <item x="18"/>
        <item x="61"/>
        <item x="0"/>
        <item x="7"/>
        <item x="26"/>
        <item x="65"/>
        <item x="83"/>
        <item x="40"/>
        <item x="19"/>
        <item x="38"/>
        <item x="5"/>
        <item x="75"/>
        <item x="27"/>
        <item x="54"/>
        <item x="60"/>
        <item x="36"/>
        <item x="56"/>
        <item x="14"/>
        <item x="80"/>
        <item x="10"/>
        <item x="46"/>
        <item x="68"/>
        <item x="25"/>
        <item x="74"/>
        <item x="89"/>
        <item x="42"/>
        <item x="12"/>
        <item x="2"/>
        <item x="3"/>
        <item x="11"/>
        <item x="34"/>
        <item x="13"/>
        <item x="17"/>
        <item x="43"/>
        <item x="28"/>
        <item x="92"/>
        <item x="55"/>
        <item x="99"/>
        <item x="58"/>
        <item x="101"/>
        <item x="72"/>
        <item x="21"/>
        <item x="47"/>
        <item x="97"/>
        <item x="66"/>
        <item x="23"/>
        <item x="96"/>
        <item x="4"/>
        <item x="93"/>
        <item x="45"/>
        <item x="6"/>
        <item x="8"/>
        <item x="57"/>
        <item x="63"/>
        <item x="77"/>
        <item x="88"/>
        <item x="73"/>
        <item x="41"/>
        <item x="84"/>
        <item x="78"/>
        <item x="71"/>
        <item x="91"/>
        <item x="100"/>
        <item x="85"/>
        <item x="94"/>
        <item x="30"/>
        <item x="59"/>
        <item x="70"/>
        <item x="90"/>
        <item x="31"/>
        <item x="49"/>
        <item x="52"/>
        <item x="15"/>
        <item x="76"/>
        <item x="24"/>
        <item x="37"/>
        <item x="20"/>
        <item x="50"/>
        <item x="69"/>
        <item x="62"/>
        <item x="67"/>
        <item x="102"/>
        <item x="22"/>
        <item x="103"/>
        <item x="79"/>
        <item x="51"/>
        <item x="33"/>
        <item x="104"/>
        <item x="98"/>
        <item x="86"/>
        <item x="39"/>
        <item x="16"/>
        <item x="29"/>
        <item x="44"/>
        <item x="87"/>
        <item x="48"/>
        <item x="9"/>
        <item x="32"/>
        <item x="1"/>
        <item x="64"/>
        <item x="81"/>
        <item x="53"/>
        <item x="82"/>
        <item t="default"/>
      </items>
    </pivotField>
    <pivotField showAll="0"/>
    <pivotField axis="axisRow" showAll="0">
      <items count="4">
        <item x="1"/>
        <item x="2"/>
        <item x="0"/>
        <item t="default"/>
      </items>
    </pivotField>
    <pivotField showAll="0"/>
    <pivotField showAll="0"/>
    <pivotField showAll="0"/>
    <pivotField showAll="0">
      <items count="9">
        <item x="4"/>
        <item x="2"/>
        <item x="1"/>
        <item x="5"/>
        <item x="6"/>
        <item x="7"/>
        <item x="3"/>
        <item x="0"/>
        <item t="default"/>
      </items>
    </pivotField>
    <pivotField showAll="0">
      <items count="5">
        <item x="1"/>
        <item x="0"/>
        <item x="3"/>
        <item x="2"/>
        <item t="default"/>
      </items>
    </pivotField>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4">
    <i>
      <x/>
    </i>
    <i>
      <x v="1"/>
    </i>
    <i>
      <x v="2"/>
    </i>
    <i t="grand">
      <x/>
    </i>
  </rowItems>
  <colItems count="1">
    <i/>
  </colItems>
  <dataFields count="1">
    <dataField name="Sum of Sales" fld="1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5779F0-E9B4-4507-9DAC-6A3F31797CF6}"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2" firstHeaderRow="1" firstDataRow="1" firstDataCol="1"/>
  <pivotFields count="13">
    <pivotField showAll="0"/>
    <pivotField numFmtId="164" showAll="0">
      <items count="106">
        <item x="35"/>
        <item x="95"/>
        <item x="18"/>
        <item x="61"/>
        <item x="0"/>
        <item x="7"/>
        <item x="26"/>
        <item x="65"/>
        <item x="83"/>
        <item x="40"/>
        <item x="19"/>
        <item x="38"/>
        <item x="5"/>
        <item x="75"/>
        <item x="27"/>
        <item x="54"/>
        <item x="60"/>
        <item x="36"/>
        <item x="56"/>
        <item x="14"/>
        <item x="80"/>
        <item x="10"/>
        <item x="46"/>
        <item x="68"/>
        <item x="25"/>
        <item x="74"/>
        <item x="89"/>
        <item x="42"/>
        <item x="12"/>
        <item x="2"/>
        <item x="3"/>
        <item x="11"/>
        <item x="34"/>
        <item x="13"/>
        <item x="17"/>
        <item x="43"/>
        <item x="28"/>
        <item x="92"/>
        <item x="55"/>
        <item x="99"/>
        <item x="58"/>
        <item x="101"/>
        <item x="72"/>
        <item x="21"/>
        <item x="47"/>
        <item x="97"/>
        <item x="66"/>
        <item x="23"/>
        <item x="96"/>
        <item x="4"/>
        <item x="93"/>
        <item x="45"/>
        <item x="6"/>
        <item x="8"/>
        <item x="57"/>
        <item x="63"/>
        <item x="77"/>
        <item x="88"/>
        <item x="73"/>
        <item x="41"/>
        <item x="84"/>
        <item x="78"/>
        <item x="71"/>
        <item x="91"/>
        <item x="100"/>
        <item x="85"/>
        <item x="94"/>
        <item x="30"/>
        <item x="59"/>
        <item x="70"/>
        <item x="90"/>
        <item x="31"/>
        <item x="49"/>
        <item x="52"/>
        <item x="15"/>
        <item x="76"/>
        <item x="24"/>
        <item x="37"/>
        <item x="20"/>
        <item x="50"/>
        <item x="69"/>
        <item x="62"/>
        <item x="67"/>
        <item x="102"/>
        <item x="22"/>
        <item x="103"/>
        <item x="79"/>
        <item x="51"/>
        <item x="33"/>
        <item x="104"/>
        <item x="98"/>
        <item x="86"/>
        <item x="39"/>
        <item x="16"/>
        <item x="29"/>
        <item x="44"/>
        <item x="87"/>
        <item x="48"/>
        <item x="9"/>
        <item x="32"/>
        <item x="1"/>
        <item x="64"/>
        <item x="81"/>
        <item x="53"/>
        <item x="82"/>
        <item t="default"/>
      </items>
    </pivotField>
    <pivotField showAll="0"/>
    <pivotField showAll="0">
      <items count="4">
        <item x="1"/>
        <item x="2"/>
        <item x="0"/>
        <item t="default"/>
      </items>
    </pivotField>
    <pivotField showAll="0"/>
    <pivotField showAll="0"/>
    <pivotField showAll="0"/>
    <pivotField axis="axisRow" showAll="0" sortType="descending">
      <items count="9">
        <item x="4"/>
        <item x="2"/>
        <item x="1"/>
        <item x="5"/>
        <item x="6"/>
        <item x="7"/>
        <item x="3"/>
        <item x="0"/>
        <item t="default"/>
      </items>
      <autoSortScope>
        <pivotArea dataOnly="0" outline="0" fieldPosition="0">
          <references count="1">
            <reference field="4294967294" count="1" selected="0">
              <x v="0"/>
            </reference>
          </references>
        </pivotArea>
      </autoSortScope>
    </pivotField>
    <pivotField showAll="0">
      <items count="5">
        <item x="1"/>
        <item x="0"/>
        <item x="3"/>
        <item x="2"/>
        <item t="default"/>
      </items>
    </pivotField>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9">
    <i>
      <x v="1"/>
    </i>
    <i>
      <x v="3"/>
    </i>
    <i>
      <x v="4"/>
    </i>
    <i>
      <x v="7"/>
    </i>
    <i>
      <x/>
    </i>
    <i>
      <x v="6"/>
    </i>
    <i>
      <x v="2"/>
    </i>
    <i>
      <x v="5"/>
    </i>
    <i t="grand">
      <x/>
    </i>
  </rowItems>
  <colItems count="1">
    <i/>
  </colItems>
  <dataFields count="1">
    <dataField name="Sum of Sales" fld="1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E25E6B-166E-4C18-9D1E-4F9292F113A6}"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3">
    <pivotField showAll="0"/>
    <pivotField numFmtId="164" showAll="0">
      <items count="106">
        <item x="35"/>
        <item x="95"/>
        <item x="18"/>
        <item x="61"/>
        <item x="0"/>
        <item x="7"/>
        <item x="26"/>
        <item x="65"/>
        <item x="83"/>
        <item x="40"/>
        <item x="19"/>
        <item x="38"/>
        <item x="5"/>
        <item x="75"/>
        <item x="27"/>
        <item x="54"/>
        <item x="60"/>
        <item x="36"/>
        <item x="56"/>
        <item x="14"/>
        <item x="80"/>
        <item x="10"/>
        <item x="46"/>
        <item x="68"/>
        <item x="25"/>
        <item x="74"/>
        <item x="89"/>
        <item x="42"/>
        <item x="12"/>
        <item x="2"/>
        <item x="3"/>
        <item x="11"/>
        <item x="34"/>
        <item x="13"/>
        <item x="17"/>
        <item x="43"/>
        <item x="28"/>
        <item x="92"/>
        <item x="55"/>
        <item x="99"/>
        <item x="58"/>
        <item x="101"/>
        <item x="72"/>
        <item x="21"/>
        <item x="47"/>
        <item x="97"/>
        <item x="66"/>
        <item x="23"/>
        <item x="96"/>
        <item x="4"/>
        <item x="93"/>
        <item x="45"/>
        <item x="6"/>
        <item x="8"/>
        <item x="57"/>
        <item x="63"/>
        <item x="77"/>
        <item x="88"/>
        <item x="73"/>
        <item x="41"/>
        <item x="84"/>
        <item x="78"/>
        <item x="71"/>
        <item x="91"/>
        <item x="100"/>
        <item x="85"/>
        <item x="94"/>
        <item x="30"/>
        <item x="59"/>
        <item x="70"/>
        <item x="90"/>
        <item x="31"/>
        <item x="49"/>
        <item x="52"/>
        <item x="15"/>
        <item x="76"/>
        <item x="24"/>
        <item x="37"/>
        <item x="20"/>
        <item x="50"/>
        <item x="69"/>
        <item x="62"/>
        <item x="67"/>
        <item x="102"/>
        <item x="22"/>
        <item x="103"/>
        <item x="79"/>
        <item x="51"/>
        <item x="33"/>
        <item x="104"/>
        <item x="98"/>
        <item x="86"/>
        <item x="39"/>
        <item x="16"/>
        <item x="29"/>
        <item x="44"/>
        <item x="87"/>
        <item x="48"/>
        <item x="9"/>
        <item x="32"/>
        <item x="1"/>
        <item x="64"/>
        <item x="81"/>
        <item x="53"/>
        <item x="82"/>
        <item t="default"/>
      </items>
    </pivotField>
    <pivotField showAll="0"/>
    <pivotField showAll="0">
      <items count="4">
        <item x="1"/>
        <item x="2"/>
        <item x="0"/>
        <item t="default"/>
      </items>
    </pivotField>
    <pivotField showAll="0"/>
    <pivotField showAll="0"/>
    <pivotField showAll="0"/>
    <pivotField showAll="0">
      <items count="9">
        <item x="4"/>
        <item x="2"/>
        <item x="1"/>
        <item x="5"/>
        <item x="6"/>
        <item x="7"/>
        <item x="3"/>
        <item x="0"/>
        <item t="default"/>
      </items>
    </pivotField>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5">
    <i>
      <x/>
    </i>
    <i>
      <x v="2"/>
    </i>
    <i>
      <x v="3"/>
    </i>
    <i>
      <x v="1"/>
    </i>
    <i t="grand">
      <x/>
    </i>
  </rowItems>
  <colItems count="1">
    <i/>
  </colItems>
  <dataFields count="1">
    <dataField name="Sum of Sales" fld="10"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8" count="1" selected="0">
            <x v="0"/>
          </reference>
        </references>
      </pivotArea>
    </chartFormat>
    <chartFormat chart="3" format="8">
      <pivotArea type="data" outline="0" fieldPosition="0">
        <references count="2">
          <reference field="4294967294" count="1" selected="0">
            <x v="0"/>
          </reference>
          <reference field="8" count="1" selected="0">
            <x v="2"/>
          </reference>
        </references>
      </pivotArea>
    </chartFormat>
    <chartFormat chart="3" format="9">
      <pivotArea type="data" outline="0" fieldPosition="0">
        <references count="2">
          <reference field="4294967294" count="1" selected="0">
            <x v="0"/>
          </reference>
          <reference field="8" count="1" selected="0">
            <x v="3"/>
          </reference>
        </references>
      </pivotArea>
    </chartFormat>
    <chartFormat chart="3" format="10">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A0079D-1046-4CAD-869B-2FB8CE06121F}"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7" firstHeaderRow="1" firstDataRow="1" firstDataCol="1"/>
  <pivotFields count="13">
    <pivotField showAll="0"/>
    <pivotField numFmtId="164" showAll="0">
      <items count="106">
        <item x="35"/>
        <item x="95"/>
        <item x="18"/>
        <item x="61"/>
        <item x="0"/>
        <item x="7"/>
        <item x="26"/>
        <item x="65"/>
        <item x="83"/>
        <item x="40"/>
        <item x="19"/>
        <item x="38"/>
        <item x="5"/>
        <item x="75"/>
        <item x="27"/>
        <item x="54"/>
        <item x="60"/>
        <item x="36"/>
        <item x="56"/>
        <item x="14"/>
        <item x="80"/>
        <item x="10"/>
        <item x="46"/>
        <item x="68"/>
        <item x="25"/>
        <item x="74"/>
        <item x="89"/>
        <item x="42"/>
        <item x="12"/>
        <item x="2"/>
        <item x="3"/>
        <item x="11"/>
        <item x="34"/>
        <item x="13"/>
        <item x="17"/>
        <item x="43"/>
        <item x="28"/>
        <item x="92"/>
        <item x="55"/>
        <item x="99"/>
        <item x="58"/>
        <item x="101"/>
        <item x="72"/>
        <item x="21"/>
        <item x="47"/>
        <item x="97"/>
        <item x="66"/>
        <item x="23"/>
        <item x="96"/>
        <item x="4"/>
        <item x="93"/>
        <item x="45"/>
        <item x="6"/>
        <item x="8"/>
        <item x="57"/>
        <item x="63"/>
        <item x="77"/>
        <item x="88"/>
        <item x="73"/>
        <item x="41"/>
        <item x="84"/>
        <item x="78"/>
        <item x="71"/>
        <item x="91"/>
        <item x="100"/>
        <item x="85"/>
        <item x="94"/>
        <item x="30"/>
        <item x="59"/>
        <item x="70"/>
        <item x="90"/>
        <item x="31"/>
        <item x="49"/>
        <item x="52"/>
        <item x="15"/>
        <item x="76"/>
        <item x="24"/>
        <item x="37"/>
        <item x="20"/>
        <item x="50"/>
        <item x="69"/>
        <item x="62"/>
        <item x="67"/>
        <item x="102"/>
        <item x="22"/>
        <item x="103"/>
        <item x="79"/>
        <item x="51"/>
        <item x="33"/>
        <item x="104"/>
        <item x="98"/>
        <item x="86"/>
        <item x="39"/>
        <item x="16"/>
        <item x="29"/>
        <item x="44"/>
        <item x="87"/>
        <item x="48"/>
        <item x="9"/>
        <item x="32"/>
        <item x="1"/>
        <item x="64"/>
        <item x="81"/>
        <item x="53"/>
        <item x="82"/>
        <item t="default"/>
      </items>
    </pivotField>
    <pivotField showAll="0"/>
    <pivotField showAll="0">
      <items count="4">
        <item x="1"/>
        <item x="2"/>
        <item x="0"/>
        <item t="default"/>
      </items>
    </pivotField>
    <pivotField showAll="0"/>
    <pivotField showAll="0"/>
    <pivotField showAll="0"/>
    <pivotField showAll="0">
      <items count="9">
        <item x="4"/>
        <item x="2"/>
        <item x="1"/>
        <item x="5"/>
        <item x="6"/>
        <item x="7"/>
        <item x="3"/>
        <item x="0"/>
        <item t="default"/>
      </items>
    </pivotField>
    <pivotField showAll="0">
      <items count="5">
        <item x="1"/>
        <item x="0"/>
        <item x="3"/>
        <item x="2"/>
        <item t="default"/>
      </items>
    </pivotField>
    <pivotField axis="axisRow" showAll="0" sortType="descending" defaultSubtotal="0">
      <items count="3">
        <item x="2"/>
        <item x="0"/>
        <item x="1"/>
      </items>
      <autoSortScope>
        <pivotArea dataOnly="0" outline="0" fieldPosition="0">
          <references count="1">
            <reference field="4294967294" count="1" selected="0">
              <x v="0"/>
            </reference>
          </references>
        </pivotArea>
      </autoSortScope>
    </pivotField>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4">
    <i>
      <x v="1"/>
    </i>
    <i>
      <x v="2"/>
    </i>
    <i>
      <x/>
    </i>
    <i t="grand">
      <x/>
    </i>
  </rowItems>
  <colItems count="1">
    <i/>
  </colItems>
  <dataFields count="1">
    <dataField name="Sum of Sales" fld="10" baseField="0" baseItem="0"/>
  </dataFields>
  <chartFormats count="4">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9" count="1" selected="0">
            <x v="1"/>
          </reference>
        </references>
      </pivotArea>
    </chartFormat>
    <chartFormat chart="21" format="7">
      <pivotArea type="data" outline="0" fieldPosition="0">
        <references count="2">
          <reference field="4294967294" count="1" selected="0">
            <x v="0"/>
          </reference>
          <reference field="9" count="1" selected="0">
            <x v="2"/>
          </reference>
        </references>
      </pivotArea>
    </chartFormat>
    <chartFormat chart="21" format="8">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B83980C-4E62-4462-936A-23B2A1740589}"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3">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164" showAll="0">
      <items count="106">
        <item x="35"/>
        <item x="95"/>
        <item x="18"/>
        <item x="61"/>
        <item x="0"/>
        <item x="7"/>
        <item x="26"/>
        <item x="65"/>
        <item x="83"/>
        <item x="40"/>
        <item x="19"/>
        <item x="38"/>
        <item x="5"/>
        <item x="75"/>
        <item x="27"/>
        <item x="54"/>
        <item x="60"/>
        <item x="36"/>
        <item x="56"/>
        <item x="14"/>
        <item x="80"/>
        <item x="10"/>
        <item x="46"/>
        <item x="68"/>
        <item x="25"/>
        <item x="74"/>
        <item x="89"/>
        <item x="42"/>
        <item x="12"/>
        <item x="2"/>
        <item x="3"/>
        <item x="11"/>
        <item x="34"/>
        <item x="13"/>
        <item x="17"/>
        <item x="43"/>
        <item x="28"/>
        <item x="92"/>
        <item x="55"/>
        <item x="99"/>
        <item x="58"/>
        <item x="101"/>
        <item x="72"/>
        <item x="21"/>
        <item x="47"/>
        <item x="97"/>
        <item x="66"/>
        <item x="23"/>
        <item x="96"/>
        <item x="4"/>
        <item x="93"/>
        <item x="45"/>
        <item x="6"/>
        <item x="8"/>
        <item x="57"/>
        <item x="63"/>
        <item x="77"/>
        <item x="88"/>
        <item x="73"/>
        <item x="41"/>
        <item x="84"/>
        <item x="78"/>
        <item x="71"/>
        <item x="91"/>
        <item x="100"/>
        <item x="85"/>
        <item x="94"/>
        <item x="30"/>
        <item x="59"/>
        <item x="70"/>
        <item x="90"/>
        <item x="31"/>
        <item x="49"/>
        <item x="52"/>
        <item x="15"/>
        <item x="76"/>
        <item x="24"/>
        <item x="37"/>
        <item x="20"/>
        <item x="50"/>
        <item x="69"/>
        <item x="62"/>
        <item x="67"/>
        <item x="102"/>
        <item x="22"/>
        <item x="103"/>
        <item x="79"/>
        <item x="51"/>
        <item x="33"/>
        <item x="104"/>
        <item x="98"/>
        <item x="86"/>
        <item x="39"/>
        <item x="16"/>
        <item x="29"/>
        <item x="44"/>
        <item x="87"/>
        <item x="48"/>
        <item x="9"/>
        <item x="32"/>
        <item x="1"/>
        <item x="64"/>
        <item x="81"/>
        <item x="53"/>
        <item x="82"/>
        <item t="default"/>
      </items>
    </pivotField>
    <pivotField showAll="0"/>
    <pivotField showAll="0">
      <items count="4">
        <item x="1"/>
        <item x="2"/>
        <item x="0"/>
        <item t="default"/>
      </items>
    </pivotField>
    <pivotField showAll="0"/>
    <pivotField showAll="0"/>
    <pivotField axis="axisRow" showAll="0" measureFilter="1" sortType="descending">
      <items count="49">
        <item x="20"/>
        <item x="33"/>
        <item x="42"/>
        <item x="19"/>
        <item x="40"/>
        <item x="22"/>
        <item x="14"/>
        <item x="37"/>
        <item x="4"/>
        <item x="13"/>
        <item x="43"/>
        <item x="24"/>
        <item x="39"/>
        <item x="7"/>
        <item x="25"/>
        <item x="17"/>
        <item x="0"/>
        <item x="27"/>
        <item x="30"/>
        <item x="11"/>
        <item x="46"/>
        <item x="5"/>
        <item x="16"/>
        <item x="10"/>
        <item x="26"/>
        <item x="28"/>
        <item x="32"/>
        <item x="8"/>
        <item x="36"/>
        <item x="12"/>
        <item x="2"/>
        <item x="41"/>
        <item x="1"/>
        <item x="6"/>
        <item x="45"/>
        <item x="3"/>
        <item x="35"/>
        <item x="29"/>
        <item x="44"/>
        <item x="23"/>
        <item x="18"/>
        <item x="31"/>
        <item x="9"/>
        <item x="47"/>
        <item x="21"/>
        <item x="34"/>
        <item x="15"/>
        <item x="38"/>
        <item t="default"/>
      </items>
      <autoSortScope>
        <pivotArea dataOnly="0" outline="0" fieldPosition="0">
          <references count="1">
            <reference field="4294967294" count="1" selected="0">
              <x v="0"/>
            </reference>
          </references>
        </pivotArea>
      </autoSortScope>
    </pivotField>
    <pivotField showAll="0">
      <items count="9">
        <item x="4"/>
        <item x="2"/>
        <item x="1"/>
        <item x="5"/>
        <item x="6"/>
        <item x="7"/>
        <item x="3"/>
        <item x="0"/>
        <item t="default"/>
      </items>
    </pivotField>
    <pivotField showAll="0">
      <items count="5">
        <item x="1"/>
        <item x="0"/>
        <item x="3"/>
        <item x="2"/>
        <item t="default"/>
      </items>
    </pivotField>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6">
    <i>
      <x v="23"/>
    </i>
    <i>
      <x v="17"/>
    </i>
    <i>
      <x v="9"/>
    </i>
    <i>
      <x v="12"/>
    </i>
    <i>
      <x v="25"/>
    </i>
    <i t="grand">
      <x/>
    </i>
  </rowItems>
  <colItems count="1">
    <i/>
  </colItems>
  <dataFields count="1">
    <dataField name="Sum of Sales" fld="10"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4DF3321-320F-45C6-976D-7784569D3050}" sourceName="Category">
  <pivotTables>
    <pivotTable tabId="13" name="PivotTable10"/>
    <pivotTable tabId="10" name="PivotTable7"/>
    <pivotTable tabId="11" name="PivotTable8"/>
    <pivotTable tabId="12" name="PivotTable9"/>
    <pivotTable tabId="3" name="PivotTable1"/>
    <pivotTable tabId="4" name="PivotTable1"/>
    <pivotTable tabId="5" name="PivotTable2"/>
    <pivotTable tabId="7" name="PivotTable4"/>
    <pivotTable tabId="8" name="PivotTable5"/>
    <pivotTable tabId="9" name="PivotTable6"/>
  </pivotTables>
  <data>
    <tabular pivotCacheId="1309064589">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EF3B732-B3AD-4DDE-9066-8F3D127CBE32}" sourceName="City">
  <pivotTables>
    <pivotTable tabId="13" name="PivotTable10"/>
    <pivotTable tabId="10" name="PivotTable7"/>
    <pivotTable tabId="11" name="PivotTable8"/>
    <pivotTable tabId="12" name="PivotTable9"/>
    <pivotTable tabId="3" name="PivotTable1"/>
    <pivotTable tabId="4" name="PivotTable1"/>
    <pivotTable tabId="5" name="PivotTable2"/>
    <pivotTable tabId="7" name="PivotTable4"/>
    <pivotTable tabId="8" name="PivotTable5"/>
    <pivotTable tabId="9" name="PivotTable6"/>
  </pivotTables>
  <data>
    <tabular pivotCacheId="1309064589">
      <items count="8">
        <i x="4" s="1"/>
        <i x="2" s="1"/>
        <i x="1" s="1"/>
        <i x="5" s="1"/>
        <i x="6" s="1"/>
        <i x="7"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521D4821-E299-4EBD-9A68-78691992A7B5}" sourceName="Payment_Method">
  <pivotTables>
    <pivotTable tabId="13" name="PivotTable10"/>
    <pivotTable tabId="10" name="PivotTable7"/>
    <pivotTable tabId="11" name="PivotTable8"/>
    <pivotTable tabId="12" name="PivotTable9"/>
    <pivotTable tabId="3" name="PivotTable1"/>
    <pivotTable tabId="4" name="PivotTable1"/>
    <pivotTable tabId="5" name="PivotTable2"/>
    <pivotTable tabId="7" name="PivotTable4"/>
    <pivotTable tabId="8" name="PivotTable5"/>
    <pivotTable tabId="9" name="PivotTable6"/>
  </pivotTables>
  <data>
    <tabular pivotCacheId="1309064589">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306269A-7113-4DA6-B33C-4D7DEE1989ED}" cache="Slicer_Category" caption="Category" style="SlicerStyleLight4" rowHeight="234950"/>
  <slicer name="City" xr10:uid="{1F6D4E92-1FD2-4EB7-8331-C11A6D77C5E0}" cache="Slicer_City" caption="City" style="SlicerStyleLight4" rowHeight="234950"/>
  <slicer name="Payment_Method" xr10:uid="{6231798D-54FB-47E4-9D88-5A927890516B}" cache="Slicer_Payment_Method" caption="Payment_Method" style="SlicerStyleLight4"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20BAA-341B-400B-A487-01D779A0AA1D}">
  <dimension ref="A3:B19"/>
  <sheetViews>
    <sheetView workbookViewId="0">
      <selection activeCell="B11" sqref="B11"/>
    </sheetView>
  </sheetViews>
  <sheetFormatPr defaultRowHeight="14.4" x14ac:dyDescent="0.3"/>
  <cols>
    <col min="1" max="1" width="14" bestFit="1" customWidth="1"/>
    <col min="2" max="2" width="11.6640625" bestFit="1" customWidth="1"/>
  </cols>
  <sheetData>
    <row r="3" spans="1:2" x14ac:dyDescent="0.3">
      <c r="A3" s="5" t="s">
        <v>245</v>
      </c>
      <c r="B3" t="s">
        <v>247</v>
      </c>
    </row>
    <row r="4" spans="1:2" x14ac:dyDescent="0.3">
      <c r="A4" s="6" t="s">
        <v>163</v>
      </c>
      <c r="B4" s="22">
        <v>1170900</v>
      </c>
    </row>
    <row r="5" spans="1:2" x14ac:dyDescent="0.3">
      <c r="A5" s="6" t="s">
        <v>169</v>
      </c>
      <c r="B5" s="22">
        <v>670900</v>
      </c>
    </row>
    <row r="6" spans="1:2" x14ac:dyDescent="0.3">
      <c r="A6" s="6" t="s">
        <v>162</v>
      </c>
      <c r="B6" s="22">
        <v>110200</v>
      </c>
    </row>
    <row r="7" spans="1:2" x14ac:dyDescent="0.3">
      <c r="A7" s="6" t="s">
        <v>173</v>
      </c>
      <c r="B7" s="22">
        <v>99900</v>
      </c>
    </row>
    <row r="8" spans="1:2" x14ac:dyDescent="0.3">
      <c r="A8" s="6" t="s">
        <v>161</v>
      </c>
      <c r="B8" s="22">
        <v>94900</v>
      </c>
    </row>
    <row r="9" spans="1:2" x14ac:dyDescent="0.3">
      <c r="A9" s="6" t="s">
        <v>165</v>
      </c>
      <c r="B9" s="22">
        <v>53600</v>
      </c>
    </row>
    <row r="10" spans="1:2" x14ac:dyDescent="0.3">
      <c r="A10" s="6" t="s">
        <v>174</v>
      </c>
      <c r="B10" s="22">
        <v>50700</v>
      </c>
    </row>
    <row r="11" spans="1:2" x14ac:dyDescent="0.3">
      <c r="A11" s="6" t="s">
        <v>167</v>
      </c>
      <c r="B11" s="22">
        <v>43900</v>
      </c>
    </row>
    <row r="12" spans="1:2" x14ac:dyDescent="0.3">
      <c r="A12" s="6" t="s">
        <v>166</v>
      </c>
      <c r="B12" s="22">
        <v>43600</v>
      </c>
    </row>
    <row r="13" spans="1:2" x14ac:dyDescent="0.3">
      <c r="A13" s="6" t="s">
        <v>170</v>
      </c>
      <c r="B13" s="22">
        <v>35100</v>
      </c>
    </row>
    <row r="14" spans="1:2" x14ac:dyDescent="0.3">
      <c r="A14" s="6" t="s">
        <v>164</v>
      </c>
      <c r="B14" s="22">
        <v>30000</v>
      </c>
    </row>
    <row r="15" spans="1:2" x14ac:dyDescent="0.3">
      <c r="A15" s="6" t="s">
        <v>171</v>
      </c>
      <c r="B15" s="22">
        <v>29200</v>
      </c>
    </row>
    <row r="16" spans="1:2" x14ac:dyDescent="0.3">
      <c r="A16" s="6" t="s">
        <v>168</v>
      </c>
      <c r="B16" s="22">
        <v>27200</v>
      </c>
    </row>
    <row r="17" spans="1:2" x14ac:dyDescent="0.3">
      <c r="A17" s="6" t="s">
        <v>175</v>
      </c>
      <c r="B17" s="22">
        <v>23000</v>
      </c>
    </row>
    <row r="18" spans="1:2" x14ac:dyDescent="0.3">
      <c r="A18" s="6" t="s">
        <v>172</v>
      </c>
      <c r="B18" s="22">
        <v>15100</v>
      </c>
    </row>
    <row r="19" spans="1:2" x14ac:dyDescent="0.3">
      <c r="A19" s="6" t="s">
        <v>246</v>
      </c>
      <c r="B19" s="22">
        <v>2498200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3BC47-3CFE-43DF-A351-55031C9AC141}">
  <dimension ref="A3:B7"/>
  <sheetViews>
    <sheetView workbookViewId="0">
      <selection activeCell="D23" sqref="D23"/>
    </sheetView>
  </sheetViews>
  <sheetFormatPr defaultRowHeight="14.4" x14ac:dyDescent="0.3"/>
  <cols>
    <col min="1" max="1" width="14.21875" bestFit="1" customWidth="1"/>
    <col min="2" max="2" width="11.6640625" bestFit="1" customWidth="1"/>
  </cols>
  <sheetData>
    <row r="3" spans="1:2" x14ac:dyDescent="0.3">
      <c r="A3" s="5" t="s">
        <v>245</v>
      </c>
      <c r="B3" t="s">
        <v>247</v>
      </c>
    </row>
    <row r="4" spans="1:2" x14ac:dyDescent="0.3">
      <c r="A4" s="6" t="s">
        <v>177</v>
      </c>
      <c r="B4" s="22">
        <v>1938400</v>
      </c>
    </row>
    <row r="5" spans="1:2" x14ac:dyDescent="0.3">
      <c r="A5" s="6" t="s">
        <v>178</v>
      </c>
      <c r="B5" s="22">
        <v>266500</v>
      </c>
    </row>
    <row r="6" spans="1:2" x14ac:dyDescent="0.3">
      <c r="A6" s="6" t="s">
        <v>176</v>
      </c>
      <c r="B6" s="22">
        <v>293300</v>
      </c>
    </row>
    <row r="7" spans="1:2" x14ac:dyDescent="0.3">
      <c r="A7" s="6" t="s">
        <v>246</v>
      </c>
      <c r="B7" s="22">
        <v>2498200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6F441-D868-4045-973D-63E1846B98A4}">
  <dimension ref="A3:B10"/>
  <sheetViews>
    <sheetView zoomScale="101" workbookViewId="0">
      <selection activeCell="N4" sqref="N4"/>
    </sheetView>
  </sheetViews>
  <sheetFormatPr defaultRowHeight="14.4" x14ac:dyDescent="0.3"/>
  <cols>
    <col min="1" max="1" width="13" bestFit="1" customWidth="1"/>
    <col min="2" max="2" width="11.88671875" bestFit="1" customWidth="1"/>
  </cols>
  <sheetData>
    <row r="3" spans="1:2" x14ac:dyDescent="0.3">
      <c r="A3" s="5" t="s">
        <v>245</v>
      </c>
      <c r="B3" t="s">
        <v>247</v>
      </c>
    </row>
    <row r="4" spans="1:2" x14ac:dyDescent="0.3">
      <c r="A4" s="6" t="s">
        <v>248</v>
      </c>
      <c r="B4" s="22">
        <v>173000</v>
      </c>
    </row>
    <row r="5" spans="1:2" x14ac:dyDescent="0.3">
      <c r="A5" s="6" t="s">
        <v>249</v>
      </c>
      <c r="B5" s="22">
        <v>339500</v>
      </c>
    </row>
    <row r="6" spans="1:2" x14ac:dyDescent="0.3">
      <c r="A6" s="6" t="s">
        <v>250</v>
      </c>
      <c r="B6" s="22">
        <v>626700</v>
      </c>
    </row>
    <row r="7" spans="1:2" x14ac:dyDescent="0.3">
      <c r="A7" s="6" t="s">
        <v>251</v>
      </c>
      <c r="B7" s="22">
        <v>285500</v>
      </c>
    </row>
    <row r="8" spans="1:2" x14ac:dyDescent="0.3">
      <c r="A8" s="6" t="s">
        <v>252</v>
      </c>
      <c r="B8" s="22">
        <v>832000</v>
      </c>
    </row>
    <row r="9" spans="1:2" x14ac:dyDescent="0.3">
      <c r="A9" s="6" t="s">
        <v>253</v>
      </c>
      <c r="B9" s="22">
        <v>241500</v>
      </c>
    </row>
    <row r="10" spans="1:2" x14ac:dyDescent="0.3">
      <c r="A10" s="6" t="s">
        <v>246</v>
      </c>
      <c r="B10" s="22">
        <v>2498200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603D7-2AE5-46D8-BF5E-D223BE7B0206}">
  <dimension ref="A3:B7"/>
  <sheetViews>
    <sheetView workbookViewId="0">
      <selection activeCell="B10" sqref="B10"/>
    </sheetView>
  </sheetViews>
  <sheetFormatPr defaultRowHeight="14.4" x14ac:dyDescent="0.3"/>
  <cols>
    <col min="1" max="1" width="14.21875" bestFit="1" customWidth="1"/>
    <col min="2" max="2" width="14.88671875" bestFit="1" customWidth="1"/>
  </cols>
  <sheetData>
    <row r="3" spans="1:2" x14ac:dyDescent="0.3">
      <c r="A3" s="5" t="s">
        <v>245</v>
      </c>
      <c r="B3" t="s">
        <v>254</v>
      </c>
    </row>
    <row r="4" spans="1:2" x14ac:dyDescent="0.3">
      <c r="A4" s="6" t="s">
        <v>177</v>
      </c>
      <c r="B4" s="22">
        <v>104</v>
      </c>
    </row>
    <row r="5" spans="1:2" x14ac:dyDescent="0.3">
      <c r="A5" s="6" t="s">
        <v>178</v>
      </c>
      <c r="B5" s="22">
        <v>146</v>
      </c>
    </row>
    <row r="6" spans="1:2" x14ac:dyDescent="0.3">
      <c r="A6" s="6" t="s">
        <v>176</v>
      </c>
      <c r="B6" s="22">
        <v>132</v>
      </c>
    </row>
    <row r="7" spans="1:2" x14ac:dyDescent="0.3">
      <c r="A7" s="6" t="s">
        <v>246</v>
      </c>
      <c r="B7" s="22">
        <v>382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BD278-C21E-4233-B6EF-3782ADACC352}">
  <dimension ref="A3:B52"/>
  <sheetViews>
    <sheetView workbookViewId="0">
      <selection activeCell="B4" sqref="B4"/>
    </sheetView>
  </sheetViews>
  <sheetFormatPr defaultRowHeight="14.4" x14ac:dyDescent="0.3"/>
  <cols>
    <col min="1" max="1" width="12.5546875" bestFit="1" customWidth="1"/>
    <col min="2" max="2" width="11.6640625" bestFit="1" customWidth="1"/>
  </cols>
  <sheetData>
    <row r="3" spans="1:2" x14ac:dyDescent="0.3">
      <c r="A3" s="5" t="s">
        <v>245</v>
      </c>
      <c r="B3" t="s">
        <v>247</v>
      </c>
    </row>
    <row r="4" spans="1:2" x14ac:dyDescent="0.3">
      <c r="A4" s="6" t="s">
        <v>190</v>
      </c>
      <c r="B4" s="22">
        <v>1300</v>
      </c>
    </row>
    <row r="5" spans="1:2" x14ac:dyDescent="0.3">
      <c r="A5" s="6" t="s">
        <v>208</v>
      </c>
      <c r="B5" s="22">
        <v>2300</v>
      </c>
    </row>
    <row r="6" spans="1:2" x14ac:dyDescent="0.3">
      <c r="A6" s="6" t="s">
        <v>224</v>
      </c>
      <c r="B6" s="22">
        <v>2600</v>
      </c>
    </row>
    <row r="7" spans="1:2" x14ac:dyDescent="0.3">
      <c r="A7" s="6" t="s">
        <v>200</v>
      </c>
      <c r="B7" s="22">
        <v>3400</v>
      </c>
    </row>
    <row r="8" spans="1:2" x14ac:dyDescent="0.3">
      <c r="A8" s="6" t="s">
        <v>223</v>
      </c>
      <c r="B8" s="22">
        <v>4800</v>
      </c>
    </row>
    <row r="9" spans="1:2" x14ac:dyDescent="0.3">
      <c r="A9" s="6" t="s">
        <v>215</v>
      </c>
      <c r="B9" s="22">
        <v>5300</v>
      </c>
    </row>
    <row r="10" spans="1:2" x14ac:dyDescent="0.3">
      <c r="A10" s="6" t="s">
        <v>212</v>
      </c>
      <c r="B10" s="22">
        <v>6200</v>
      </c>
    </row>
    <row r="11" spans="1:2" x14ac:dyDescent="0.3">
      <c r="A11" s="6" t="s">
        <v>216</v>
      </c>
      <c r="B11" s="22">
        <v>6400</v>
      </c>
    </row>
    <row r="12" spans="1:2" x14ac:dyDescent="0.3">
      <c r="A12" s="6" t="s">
        <v>226</v>
      </c>
      <c r="B12" s="22">
        <v>6400</v>
      </c>
    </row>
    <row r="13" spans="1:2" x14ac:dyDescent="0.3">
      <c r="A13" s="6" t="s">
        <v>221</v>
      </c>
      <c r="B13" s="22">
        <v>6800</v>
      </c>
    </row>
    <row r="14" spans="1:2" x14ac:dyDescent="0.3">
      <c r="A14" s="6" t="s">
        <v>199</v>
      </c>
      <c r="B14" s="22">
        <v>7500</v>
      </c>
    </row>
    <row r="15" spans="1:2" x14ac:dyDescent="0.3">
      <c r="A15" s="6" t="s">
        <v>213</v>
      </c>
      <c r="B15" s="22">
        <v>10200</v>
      </c>
    </row>
    <row r="16" spans="1:2" x14ac:dyDescent="0.3">
      <c r="A16" s="6" t="s">
        <v>211</v>
      </c>
      <c r="B16" s="22">
        <v>11900</v>
      </c>
    </row>
    <row r="17" spans="1:2" x14ac:dyDescent="0.3">
      <c r="A17" s="6" t="s">
        <v>195</v>
      </c>
      <c r="B17" s="22">
        <v>12300</v>
      </c>
    </row>
    <row r="18" spans="1:2" x14ac:dyDescent="0.3">
      <c r="A18" s="6" t="s">
        <v>197</v>
      </c>
      <c r="B18" s="22">
        <v>13000</v>
      </c>
    </row>
    <row r="19" spans="1:2" x14ac:dyDescent="0.3">
      <c r="A19" s="6" t="s">
        <v>191</v>
      </c>
      <c r="B19" s="22">
        <v>13200</v>
      </c>
    </row>
    <row r="20" spans="1:2" x14ac:dyDescent="0.3">
      <c r="A20" s="6" t="s">
        <v>184</v>
      </c>
      <c r="B20" s="22">
        <v>13800</v>
      </c>
    </row>
    <row r="21" spans="1:2" x14ac:dyDescent="0.3">
      <c r="A21" s="6" t="s">
        <v>187</v>
      </c>
      <c r="B21" s="22">
        <v>14600</v>
      </c>
    </row>
    <row r="22" spans="1:2" x14ac:dyDescent="0.3">
      <c r="A22" s="6" t="s">
        <v>204</v>
      </c>
      <c r="B22" s="22">
        <v>15400</v>
      </c>
    </row>
    <row r="23" spans="1:2" x14ac:dyDescent="0.3">
      <c r="A23" s="6" t="s">
        <v>180</v>
      </c>
      <c r="B23" s="22">
        <v>15600</v>
      </c>
    </row>
    <row r="24" spans="1:2" x14ac:dyDescent="0.3">
      <c r="A24" s="6" t="s">
        <v>210</v>
      </c>
      <c r="B24" s="22">
        <v>16200</v>
      </c>
    </row>
    <row r="25" spans="1:2" x14ac:dyDescent="0.3">
      <c r="A25" s="6" t="s">
        <v>193</v>
      </c>
      <c r="B25" s="22">
        <v>16800</v>
      </c>
    </row>
    <row r="26" spans="1:2" x14ac:dyDescent="0.3">
      <c r="A26" s="6" t="s">
        <v>217</v>
      </c>
      <c r="B26" s="22">
        <v>17200</v>
      </c>
    </row>
    <row r="27" spans="1:2" x14ac:dyDescent="0.3">
      <c r="A27" s="6" t="s">
        <v>186</v>
      </c>
      <c r="B27" s="22">
        <v>17700</v>
      </c>
    </row>
    <row r="28" spans="1:2" x14ac:dyDescent="0.3">
      <c r="A28" s="6" t="s">
        <v>222</v>
      </c>
      <c r="B28" s="22">
        <v>18000</v>
      </c>
    </row>
    <row r="29" spans="1:2" x14ac:dyDescent="0.3">
      <c r="A29" s="6" t="s">
        <v>205</v>
      </c>
      <c r="B29" s="22">
        <v>19800</v>
      </c>
    </row>
    <row r="30" spans="1:2" x14ac:dyDescent="0.3">
      <c r="A30" s="6" t="s">
        <v>196</v>
      </c>
      <c r="B30" s="22">
        <v>23900</v>
      </c>
    </row>
    <row r="31" spans="1:2" x14ac:dyDescent="0.3">
      <c r="A31" s="6" t="s">
        <v>188</v>
      </c>
      <c r="B31" s="22">
        <v>25600</v>
      </c>
    </row>
    <row r="32" spans="1:2" x14ac:dyDescent="0.3">
      <c r="A32" s="6" t="s">
        <v>219</v>
      </c>
      <c r="B32" s="22">
        <v>30300</v>
      </c>
    </row>
    <row r="33" spans="1:2" x14ac:dyDescent="0.3">
      <c r="A33" s="6" t="s">
        <v>179</v>
      </c>
      <c r="B33" s="22">
        <v>34300</v>
      </c>
    </row>
    <row r="34" spans="1:2" x14ac:dyDescent="0.3">
      <c r="A34" s="6" t="s">
        <v>182</v>
      </c>
      <c r="B34" s="22">
        <v>36100</v>
      </c>
    </row>
    <row r="35" spans="1:2" x14ac:dyDescent="0.3">
      <c r="A35" s="6" t="s">
        <v>209</v>
      </c>
      <c r="B35" s="22">
        <v>44000</v>
      </c>
    </row>
    <row r="36" spans="1:2" x14ac:dyDescent="0.3">
      <c r="A36" s="6" t="s">
        <v>203</v>
      </c>
      <c r="B36" s="22">
        <v>45800</v>
      </c>
    </row>
    <row r="37" spans="1:2" x14ac:dyDescent="0.3">
      <c r="A37" s="6" t="s">
        <v>181</v>
      </c>
      <c r="B37" s="22">
        <v>50400</v>
      </c>
    </row>
    <row r="38" spans="1:2" x14ac:dyDescent="0.3">
      <c r="A38" s="6" t="s">
        <v>201</v>
      </c>
      <c r="B38" s="22">
        <v>64200</v>
      </c>
    </row>
    <row r="39" spans="1:2" x14ac:dyDescent="0.3">
      <c r="A39" s="6" t="s">
        <v>214</v>
      </c>
      <c r="B39" s="22">
        <v>70600</v>
      </c>
    </row>
    <row r="40" spans="1:2" x14ac:dyDescent="0.3">
      <c r="A40" s="6" t="s">
        <v>194</v>
      </c>
      <c r="B40" s="22">
        <v>78900</v>
      </c>
    </row>
    <row r="41" spans="1:2" x14ac:dyDescent="0.3">
      <c r="A41" s="6" t="s">
        <v>220</v>
      </c>
      <c r="B41" s="22">
        <v>83400</v>
      </c>
    </row>
    <row r="42" spans="1:2" x14ac:dyDescent="0.3">
      <c r="A42" s="6" t="s">
        <v>185</v>
      </c>
      <c r="B42" s="22">
        <v>86000</v>
      </c>
    </row>
    <row r="43" spans="1:2" x14ac:dyDescent="0.3">
      <c r="A43" s="6" t="s">
        <v>183</v>
      </c>
      <c r="B43" s="22">
        <v>88600</v>
      </c>
    </row>
    <row r="44" spans="1:2" x14ac:dyDescent="0.3">
      <c r="A44" s="6" t="s">
        <v>225</v>
      </c>
      <c r="B44" s="22">
        <v>90200</v>
      </c>
    </row>
    <row r="45" spans="1:2" x14ac:dyDescent="0.3">
      <c r="A45" s="6" t="s">
        <v>198</v>
      </c>
      <c r="B45" s="22">
        <v>94600</v>
      </c>
    </row>
    <row r="46" spans="1:2" x14ac:dyDescent="0.3">
      <c r="A46" s="6" t="s">
        <v>202</v>
      </c>
      <c r="B46" s="22">
        <v>100600</v>
      </c>
    </row>
    <row r="47" spans="1:2" x14ac:dyDescent="0.3">
      <c r="A47" s="6" t="s">
        <v>207</v>
      </c>
      <c r="B47" s="22">
        <v>137000</v>
      </c>
    </row>
    <row r="48" spans="1:2" x14ac:dyDescent="0.3">
      <c r="A48" s="6" t="s">
        <v>218</v>
      </c>
      <c r="B48" s="22">
        <v>140400</v>
      </c>
    </row>
    <row r="49" spans="1:2" x14ac:dyDescent="0.3">
      <c r="A49" s="6" t="s">
        <v>192</v>
      </c>
      <c r="B49" s="22">
        <v>200100</v>
      </c>
    </row>
    <row r="50" spans="1:2" x14ac:dyDescent="0.3">
      <c r="A50" s="6" t="s">
        <v>206</v>
      </c>
      <c r="B50" s="22">
        <v>326300</v>
      </c>
    </row>
    <row r="51" spans="1:2" x14ac:dyDescent="0.3">
      <c r="A51" s="6" t="s">
        <v>189</v>
      </c>
      <c r="B51" s="22">
        <v>368200</v>
      </c>
    </row>
    <row r="52" spans="1:2" x14ac:dyDescent="0.3">
      <c r="A52" s="6" t="s">
        <v>246</v>
      </c>
      <c r="B52" s="22">
        <v>2498200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8E9C-B0B2-4A58-9E2E-517E83D907A9}">
  <dimension ref="A3:B7"/>
  <sheetViews>
    <sheetView workbookViewId="0">
      <selection activeCell="B3" sqref="B3"/>
    </sheetView>
  </sheetViews>
  <sheetFormatPr defaultRowHeight="14.4" x14ac:dyDescent="0.3"/>
  <cols>
    <col min="1" max="1" width="14.21875" bestFit="1" customWidth="1"/>
    <col min="2" max="2" width="11.6640625" bestFit="1" customWidth="1"/>
  </cols>
  <sheetData>
    <row r="3" spans="1:2" x14ac:dyDescent="0.3">
      <c r="A3" s="5" t="s">
        <v>245</v>
      </c>
      <c r="B3" t="s">
        <v>247</v>
      </c>
    </row>
    <row r="4" spans="1:2" x14ac:dyDescent="0.3">
      <c r="A4" s="6" t="s">
        <v>177</v>
      </c>
      <c r="B4" s="22">
        <v>1938400</v>
      </c>
    </row>
    <row r="5" spans="1:2" x14ac:dyDescent="0.3">
      <c r="A5" s="6" t="s">
        <v>178</v>
      </c>
      <c r="B5" s="22">
        <v>266500</v>
      </c>
    </row>
    <row r="6" spans="1:2" x14ac:dyDescent="0.3">
      <c r="A6" s="6" t="s">
        <v>176</v>
      </c>
      <c r="B6" s="22">
        <v>293300</v>
      </c>
    </row>
    <row r="7" spans="1:2" x14ac:dyDescent="0.3">
      <c r="A7" s="6" t="s">
        <v>246</v>
      </c>
      <c r="B7" s="22">
        <v>2498200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ACF3F-D44D-416D-8965-2788475EDB09}">
  <dimension ref="A3:B12"/>
  <sheetViews>
    <sheetView zoomScale="91" workbookViewId="0">
      <selection activeCell="N8" sqref="N8"/>
    </sheetView>
  </sheetViews>
  <sheetFormatPr defaultRowHeight="14.4" x14ac:dyDescent="0.3"/>
  <cols>
    <col min="1" max="1" width="13.33203125" bestFit="1" customWidth="1"/>
    <col min="2" max="2" width="12" bestFit="1" customWidth="1"/>
  </cols>
  <sheetData>
    <row r="3" spans="1:2" x14ac:dyDescent="0.3">
      <c r="A3" s="5" t="s">
        <v>245</v>
      </c>
      <c r="B3" t="s">
        <v>247</v>
      </c>
    </row>
    <row r="4" spans="1:2" x14ac:dyDescent="0.3">
      <c r="A4" s="6" t="s">
        <v>229</v>
      </c>
      <c r="B4" s="22">
        <v>446400</v>
      </c>
    </row>
    <row r="5" spans="1:2" x14ac:dyDescent="0.3">
      <c r="A5" s="6" t="s">
        <v>232</v>
      </c>
      <c r="B5" s="22">
        <v>439300</v>
      </c>
    </row>
    <row r="6" spans="1:2" x14ac:dyDescent="0.3">
      <c r="A6" s="6" t="s">
        <v>233</v>
      </c>
      <c r="B6" s="22">
        <v>428200</v>
      </c>
    </row>
    <row r="7" spans="1:2" x14ac:dyDescent="0.3">
      <c r="A7" s="6" t="s">
        <v>227</v>
      </c>
      <c r="B7" s="22">
        <v>392200</v>
      </c>
    </row>
    <row r="8" spans="1:2" x14ac:dyDescent="0.3">
      <c r="A8" s="6" t="s">
        <v>231</v>
      </c>
      <c r="B8" s="22">
        <v>357600</v>
      </c>
    </row>
    <row r="9" spans="1:2" x14ac:dyDescent="0.3">
      <c r="A9" s="6" t="s">
        <v>230</v>
      </c>
      <c r="B9" s="22">
        <v>171800</v>
      </c>
    </row>
    <row r="10" spans="1:2" x14ac:dyDescent="0.3">
      <c r="A10" s="6" t="s">
        <v>228</v>
      </c>
      <c r="B10" s="22">
        <v>161200</v>
      </c>
    </row>
    <row r="11" spans="1:2" x14ac:dyDescent="0.3">
      <c r="A11" s="6" t="s">
        <v>234</v>
      </c>
      <c r="B11" s="22">
        <v>101500</v>
      </c>
    </row>
    <row r="12" spans="1:2" x14ac:dyDescent="0.3">
      <c r="A12" s="6" t="s">
        <v>246</v>
      </c>
      <c r="B12" s="22">
        <v>2498200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AD6B0-241B-4859-A57F-956DB7BB1A19}">
  <dimension ref="A3:B8"/>
  <sheetViews>
    <sheetView workbookViewId="0">
      <selection activeCell="B4" sqref="B4"/>
    </sheetView>
  </sheetViews>
  <sheetFormatPr defaultRowHeight="14.4" x14ac:dyDescent="0.3"/>
  <cols>
    <col min="1" max="1" width="14.5546875" bestFit="1" customWidth="1"/>
    <col min="2" max="2" width="11.6640625" bestFit="1" customWidth="1"/>
  </cols>
  <sheetData>
    <row r="3" spans="1:2" x14ac:dyDescent="0.3">
      <c r="A3" s="5" t="s">
        <v>245</v>
      </c>
      <c r="B3" t="s">
        <v>247</v>
      </c>
    </row>
    <row r="4" spans="1:2" x14ac:dyDescent="0.3">
      <c r="A4" s="6" t="s">
        <v>236</v>
      </c>
      <c r="B4" s="22">
        <v>952900</v>
      </c>
    </row>
    <row r="5" spans="1:2" x14ac:dyDescent="0.3">
      <c r="A5" s="6" t="s">
        <v>238</v>
      </c>
      <c r="B5" s="22">
        <v>581600</v>
      </c>
    </row>
    <row r="6" spans="1:2" x14ac:dyDescent="0.3">
      <c r="A6" s="6" t="s">
        <v>237</v>
      </c>
      <c r="B6" s="22">
        <v>563600</v>
      </c>
    </row>
    <row r="7" spans="1:2" x14ac:dyDescent="0.3">
      <c r="A7" s="6" t="s">
        <v>235</v>
      </c>
      <c r="B7" s="22">
        <v>400100</v>
      </c>
    </row>
    <row r="8" spans="1:2" x14ac:dyDescent="0.3">
      <c r="A8" s="6" t="s">
        <v>246</v>
      </c>
      <c r="B8" s="22">
        <v>2498200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FBC9F-B1A5-4005-91C1-17B50929DB70}">
  <dimension ref="A3:B7"/>
  <sheetViews>
    <sheetView workbookViewId="0">
      <selection activeCell="Q4" sqref="Q4"/>
    </sheetView>
  </sheetViews>
  <sheetFormatPr defaultRowHeight="14.4" x14ac:dyDescent="0.3"/>
  <cols>
    <col min="1" max="1" width="12.5546875" bestFit="1" customWidth="1"/>
    <col min="2" max="2" width="11.6640625" bestFit="1" customWidth="1"/>
  </cols>
  <sheetData>
    <row r="3" spans="1:2" x14ac:dyDescent="0.3">
      <c r="A3" s="5" t="s">
        <v>245</v>
      </c>
      <c r="B3" t="s">
        <v>247</v>
      </c>
    </row>
    <row r="4" spans="1:2" x14ac:dyDescent="0.3">
      <c r="A4" s="6" t="s">
        <v>239</v>
      </c>
      <c r="B4" s="22">
        <v>1860600</v>
      </c>
    </row>
    <row r="5" spans="1:2" x14ac:dyDescent="0.3">
      <c r="A5" s="6" t="s">
        <v>240</v>
      </c>
      <c r="B5" s="22">
        <v>348100</v>
      </c>
    </row>
    <row r="6" spans="1:2" x14ac:dyDescent="0.3">
      <c r="A6" s="6" t="s">
        <v>241</v>
      </c>
      <c r="B6" s="22">
        <v>289500</v>
      </c>
    </row>
    <row r="7" spans="1:2" x14ac:dyDescent="0.3">
      <c r="A7" s="6" t="s">
        <v>246</v>
      </c>
      <c r="B7" s="22">
        <v>2498200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15778-8DB1-4450-A855-95C02505439E}">
  <dimension ref="A3:B9"/>
  <sheetViews>
    <sheetView workbookViewId="0">
      <selection activeCell="I27" sqref="I27"/>
    </sheetView>
  </sheetViews>
  <sheetFormatPr defaultRowHeight="14.4" x14ac:dyDescent="0.3"/>
  <cols>
    <col min="1" max="1" width="12.5546875" bestFit="1" customWidth="1"/>
    <col min="2" max="2" width="11.6640625" bestFit="1" customWidth="1"/>
  </cols>
  <sheetData>
    <row r="3" spans="1:2" x14ac:dyDescent="0.3">
      <c r="A3" s="5" t="s">
        <v>245</v>
      </c>
      <c r="B3" t="s">
        <v>247</v>
      </c>
    </row>
    <row r="4" spans="1:2" x14ac:dyDescent="0.3">
      <c r="A4" s="6" t="s">
        <v>189</v>
      </c>
      <c r="B4" s="22">
        <v>368200</v>
      </c>
    </row>
    <row r="5" spans="1:2" x14ac:dyDescent="0.3">
      <c r="A5" s="6" t="s">
        <v>206</v>
      </c>
      <c r="B5" s="22">
        <v>326300</v>
      </c>
    </row>
    <row r="6" spans="1:2" x14ac:dyDescent="0.3">
      <c r="A6" s="6" t="s">
        <v>192</v>
      </c>
      <c r="B6" s="22">
        <v>200100</v>
      </c>
    </row>
    <row r="7" spans="1:2" x14ac:dyDescent="0.3">
      <c r="A7" s="6" t="s">
        <v>218</v>
      </c>
      <c r="B7" s="22">
        <v>140400</v>
      </c>
    </row>
    <row r="8" spans="1:2" x14ac:dyDescent="0.3">
      <c r="A8" s="6" t="s">
        <v>207</v>
      </c>
      <c r="B8" s="22">
        <v>137000</v>
      </c>
    </row>
    <row r="9" spans="1:2" x14ac:dyDescent="0.3">
      <c r="A9" s="6" t="s">
        <v>246</v>
      </c>
      <c r="B9" s="22">
        <v>1172000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1A43F-A0F5-47C4-BB30-B6C527B69CB9}">
  <dimension ref="A1:J14"/>
  <sheetViews>
    <sheetView tabSelected="1" topLeftCell="A17" zoomScale="71" workbookViewId="0">
      <selection activeCell="I2" sqref="I2"/>
    </sheetView>
  </sheetViews>
  <sheetFormatPr defaultRowHeight="14.4" x14ac:dyDescent="0.3"/>
  <cols>
    <col min="1" max="1" width="19.5546875" style="13" customWidth="1"/>
    <col min="2" max="2" width="3.77734375" style="13" customWidth="1"/>
    <col min="3" max="3" width="16.33203125" style="13" customWidth="1"/>
    <col min="4" max="4" width="3.77734375" style="13" customWidth="1"/>
    <col min="5" max="5" width="22.6640625" style="13" customWidth="1"/>
    <col min="6" max="6" width="3.77734375" style="13" customWidth="1"/>
    <col min="7" max="7" width="18.6640625" style="13" customWidth="1"/>
    <col min="8" max="8" width="8.88671875" style="13"/>
    <col min="9" max="9" width="8.33203125" style="13" customWidth="1"/>
    <col min="10" max="10" width="14.77734375" style="13" customWidth="1"/>
    <col min="11" max="11" width="10.109375" style="13" customWidth="1"/>
    <col min="12" max="13" width="8.88671875" style="13"/>
    <col min="14" max="14" width="10" style="13" customWidth="1"/>
    <col min="15" max="16384" width="8.88671875" style="13"/>
  </cols>
  <sheetData>
    <row r="1" spans="1:10" ht="25.8" x14ac:dyDescent="0.5">
      <c r="A1" s="14"/>
      <c r="B1" s="15"/>
      <c r="F1" s="16" t="s">
        <v>258</v>
      </c>
      <c r="G1" s="20"/>
      <c r="H1" s="21"/>
      <c r="I1" s="21"/>
      <c r="J1" s="21"/>
    </row>
    <row r="2" spans="1:10" ht="25.8" x14ac:dyDescent="0.5">
      <c r="A2" s="14"/>
      <c r="B2" s="15"/>
      <c r="F2" s="17"/>
    </row>
    <row r="3" spans="1:10" ht="18" x14ac:dyDescent="0.35">
      <c r="A3" s="7" t="s">
        <v>257</v>
      </c>
      <c r="C3" s="7" t="s">
        <v>255</v>
      </c>
      <c r="E3" s="10" t="s">
        <v>256</v>
      </c>
      <c r="G3" s="10" t="s">
        <v>259</v>
      </c>
    </row>
    <row r="4" spans="1:10" ht="21" x14ac:dyDescent="0.4">
      <c r="A4" s="8">
        <f>SUM([1]Sheet1!K2:K1000)</f>
        <v>2498200</v>
      </c>
      <c r="C4" s="9">
        <v>150</v>
      </c>
      <c r="E4" s="11">
        <f>AVERAGE([1]Sheet1!K2:K1000)</f>
        <v>16654.666666666668</v>
      </c>
      <c r="G4" s="12">
        <v>49</v>
      </c>
    </row>
    <row r="5" spans="1:10" ht="18" x14ac:dyDescent="0.35">
      <c r="A5" s="18"/>
    </row>
    <row r="14" spans="1:10" x14ac:dyDescent="0.3">
      <c r="G14"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51"/>
  <sheetViews>
    <sheetView topLeftCell="B1" workbookViewId="0">
      <selection activeCell="B14" sqref="B14"/>
    </sheetView>
  </sheetViews>
  <sheetFormatPr defaultRowHeight="14.4" x14ac:dyDescent="0.3"/>
  <cols>
    <col min="2" max="2" width="11" customWidth="1"/>
    <col min="3" max="3" width="15.77734375" customWidth="1"/>
    <col min="4" max="4" width="15.33203125" customWidth="1"/>
    <col min="6" max="6" width="11" bestFit="1" customWidth="1"/>
    <col min="7" max="7" width="12.33203125" bestFit="1" customWidth="1"/>
    <col min="8" max="8" width="10.6640625" bestFit="1" customWidth="1"/>
    <col min="9" max="9" width="16.44140625" bestFit="1" customWidth="1"/>
    <col min="10" max="10" width="12" bestFit="1" customWidth="1"/>
  </cols>
  <sheetData>
    <row r="1" spans="1:15" x14ac:dyDescent="0.3">
      <c r="A1" s="1" t="s">
        <v>0</v>
      </c>
      <c r="B1" s="3" t="s">
        <v>1</v>
      </c>
      <c r="C1" s="1" t="s">
        <v>2</v>
      </c>
      <c r="D1" s="1" t="s">
        <v>3</v>
      </c>
      <c r="E1" s="1" t="s">
        <v>4</v>
      </c>
      <c r="F1" s="4" t="s">
        <v>5</v>
      </c>
      <c r="G1" s="1" t="s">
        <v>6</v>
      </c>
      <c r="H1" s="1" t="s">
        <v>7</v>
      </c>
      <c r="I1" s="1" t="s">
        <v>8</v>
      </c>
      <c r="J1" s="1" t="s">
        <v>9</v>
      </c>
      <c r="K1" s="1" t="s">
        <v>10</v>
      </c>
    </row>
    <row r="2" spans="1:15" x14ac:dyDescent="0.3">
      <c r="A2" t="s">
        <v>11</v>
      </c>
      <c r="B2" s="2">
        <v>46029</v>
      </c>
      <c r="C2" t="s">
        <v>161</v>
      </c>
      <c r="D2" t="s">
        <v>176</v>
      </c>
      <c r="E2">
        <v>1</v>
      </c>
      <c r="F2">
        <v>4700</v>
      </c>
      <c r="G2" t="s">
        <v>179</v>
      </c>
      <c r="H2" t="s">
        <v>227</v>
      </c>
      <c r="I2" t="s">
        <v>235</v>
      </c>
      <c r="J2" t="s">
        <v>239</v>
      </c>
      <c r="K2">
        <v>4700</v>
      </c>
    </row>
    <row r="3" spans="1:15" x14ac:dyDescent="0.3">
      <c r="A3" t="s">
        <v>12</v>
      </c>
      <c r="B3" s="2">
        <v>46196</v>
      </c>
      <c r="C3" t="s">
        <v>162</v>
      </c>
      <c r="D3" t="s">
        <v>176</v>
      </c>
      <c r="E3">
        <v>1</v>
      </c>
      <c r="F3">
        <v>4000</v>
      </c>
      <c r="G3" t="s">
        <v>180</v>
      </c>
      <c r="H3" t="s">
        <v>228</v>
      </c>
      <c r="I3" t="s">
        <v>236</v>
      </c>
      <c r="J3" t="s">
        <v>239</v>
      </c>
      <c r="K3">
        <v>4000</v>
      </c>
    </row>
    <row r="4" spans="1:15" x14ac:dyDescent="0.3">
      <c r="A4" t="s">
        <v>13</v>
      </c>
      <c r="B4" s="2">
        <v>46078</v>
      </c>
      <c r="C4" t="s">
        <v>163</v>
      </c>
      <c r="D4" t="s">
        <v>177</v>
      </c>
      <c r="E4">
        <v>1</v>
      </c>
      <c r="F4">
        <v>44900</v>
      </c>
      <c r="G4" t="s">
        <v>181</v>
      </c>
      <c r="H4" t="s">
        <v>229</v>
      </c>
      <c r="I4" t="s">
        <v>235</v>
      </c>
      <c r="J4" t="s">
        <v>240</v>
      </c>
      <c r="K4">
        <v>44900</v>
      </c>
    </row>
    <row r="5" spans="1:15" x14ac:dyDescent="0.3">
      <c r="A5" t="s">
        <v>14</v>
      </c>
      <c r="B5" s="2">
        <v>46079</v>
      </c>
      <c r="C5" t="s">
        <v>161</v>
      </c>
      <c r="D5" t="s">
        <v>176</v>
      </c>
      <c r="E5">
        <v>4</v>
      </c>
      <c r="F5">
        <v>4500</v>
      </c>
      <c r="G5" t="s">
        <v>182</v>
      </c>
      <c r="H5" t="s">
        <v>230</v>
      </c>
      <c r="I5" t="s">
        <v>237</v>
      </c>
      <c r="J5" t="s">
        <v>239</v>
      </c>
      <c r="K5">
        <v>18000</v>
      </c>
    </row>
    <row r="6" spans="1:15" x14ac:dyDescent="0.3">
      <c r="A6" t="s">
        <v>15</v>
      </c>
      <c r="B6" s="2">
        <v>46110</v>
      </c>
      <c r="C6" t="s">
        <v>162</v>
      </c>
      <c r="D6" t="s">
        <v>176</v>
      </c>
      <c r="E6">
        <v>4</v>
      </c>
      <c r="F6">
        <v>3800</v>
      </c>
      <c r="G6" t="s">
        <v>183</v>
      </c>
      <c r="H6" t="s">
        <v>227</v>
      </c>
      <c r="I6" t="s">
        <v>238</v>
      </c>
      <c r="J6" t="s">
        <v>239</v>
      </c>
      <c r="K6">
        <v>15200</v>
      </c>
    </row>
    <row r="7" spans="1:15" x14ac:dyDescent="0.3">
      <c r="A7" t="s">
        <v>16</v>
      </c>
      <c r="B7" s="2">
        <v>46047</v>
      </c>
      <c r="C7" t="s">
        <v>164</v>
      </c>
      <c r="D7" t="s">
        <v>177</v>
      </c>
      <c r="E7">
        <v>4</v>
      </c>
      <c r="F7">
        <v>1200</v>
      </c>
      <c r="G7" t="s">
        <v>184</v>
      </c>
      <c r="H7" t="s">
        <v>230</v>
      </c>
      <c r="I7" t="s">
        <v>237</v>
      </c>
      <c r="J7" t="s">
        <v>240</v>
      </c>
      <c r="K7">
        <v>4800</v>
      </c>
      <c r="N7">
        <f>SUM(K2:K151)</f>
        <v>2498200</v>
      </c>
      <c r="O7" t="s">
        <v>242</v>
      </c>
    </row>
    <row r="8" spans="1:15" x14ac:dyDescent="0.3">
      <c r="A8" t="s">
        <v>17</v>
      </c>
      <c r="B8" s="2">
        <v>46119</v>
      </c>
      <c r="C8" t="s">
        <v>165</v>
      </c>
      <c r="D8" t="s">
        <v>178</v>
      </c>
      <c r="E8">
        <v>1</v>
      </c>
      <c r="F8">
        <v>1600</v>
      </c>
      <c r="G8" t="s">
        <v>185</v>
      </c>
      <c r="H8" t="s">
        <v>230</v>
      </c>
      <c r="I8" t="s">
        <v>238</v>
      </c>
      <c r="J8" t="s">
        <v>241</v>
      </c>
      <c r="K8">
        <v>1600</v>
      </c>
    </row>
    <row r="9" spans="1:15" x14ac:dyDescent="0.3">
      <c r="A9" t="s">
        <v>18</v>
      </c>
      <c r="B9" s="2">
        <v>46034</v>
      </c>
      <c r="C9" t="s">
        <v>166</v>
      </c>
      <c r="D9" t="s">
        <v>177</v>
      </c>
      <c r="E9">
        <v>1</v>
      </c>
      <c r="F9">
        <v>2700</v>
      </c>
      <c r="G9" t="s">
        <v>186</v>
      </c>
      <c r="H9" t="s">
        <v>230</v>
      </c>
      <c r="I9" t="s">
        <v>237</v>
      </c>
      <c r="J9" t="s">
        <v>239</v>
      </c>
      <c r="K9">
        <v>2700</v>
      </c>
    </row>
    <row r="10" spans="1:15" x14ac:dyDescent="0.3">
      <c r="A10" t="s">
        <v>19</v>
      </c>
      <c r="B10" s="2">
        <v>46120</v>
      </c>
      <c r="C10" t="s">
        <v>167</v>
      </c>
      <c r="D10" t="s">
        <v>176</v>
      </c>
      <c r="E10">
        <v>1</v>
      </c>
      <c r="F10">
        <v>1400</v>
      </c>
      <c r="G10" t="s">
        <v>187</v>
      </c>
      <c r="H10" t="s">
        <v>231</v>
      </c>
      <c r="I10" t="s">
        <v>235</v>
      </c>
      <c r="J10" t="s">
        <v>239</v>
      </c>
      <c r="K10">
        <v>1400</v>
      </c>
      <c r="N10">
        <f>SUM(E2:E151)</f>
        <v>382</v>
      </c>
      <c r="O10" t="s">
        <v>243</v>
      </c>
    </row>
    <row r="11" spans="1:15" x14ac:dyDescent="0.3">
      <c r="A11" t="s">
        <v>20</v>
      </c>
      <c r="B11" s="2">
        <v>46194</v>
      </c>
      <c r="C11" t="s">
        <v>168</v>
      </c>
      <c r="D11" t="s">
        <v>178</v>
      </c>
      <c r="E11">
        <v>2</v>
      </c>
      <c r="F11">
        <v>1500</v>
      </c>
      <c r="G11" t="s">
        <v>188</v>
      </c>
      <c r="H11" t="s">
        <v>228</v>
      </c>
      <c r="I11" t="s">
        <v>235</v>
      </c>
      <c r="J11" t="s">
        <v>241</v>
      </c>
      <c r="K11">
        <v>3000</v>
      </c>
    </row>
    <row r="12" spans="1:15" x14ac:dyDescent="0.3">
      <c r="A12" t="s">
        <v>21</v>
      </c>
      <c r="B12" s="2">
        <v>46064</v>
      </c>
      <c r="C12" t="s">
        <v>162</v>
      </c>
      <c r="D12" t="s">
        <v>176</v>
      </c>
      <c r="E12">
        <v>2</v>
      </c>
      <c r="F12">
        <v>3800</v>
      </c>
      <c r="G12" t="s">
        <v>189</v>
      </c>
      <c r="H12" t="s">
        <v>230</v>
      </c>
      <c r="I12" t="s">
        <v>235</v>
      </c>
      <c r="J12" t="s">
        <v>240</v>
      </c>
      <c r="K12">
        <v>7600</v>
      </c>
      <c r="N12">
        <f>COUNTA(A2:A151)</f>
        <v>150</v>
      </c>
      <c r="O12" t="s">
        <v>242</v>
      </c>
    </row>
    <row r="13" spans="1:15" x14ac:dyDescent="0.3">
      <c r="A13" t="s">
        <v>22</v>
      </c>
      <c r="B13" s="2">
        <v>46081</v>
      </c>
      <c r="C13" t="s">
        <v>168</v>
      </c>
      <c r="D13" t="s">
        <v>178</v>
      </c>
      <c r="E13">
        <v>1</v>
      </c>
      <c r="F13">
        <v>1300</v>
      </c>
      <c r="G13" t="s">
        <v>190</v>
      </c>
      <c r="H13" t="s">
        <v>232</v>
      </c>
      <c r="I13" t="s">
        <v>238</v>
      </c>
      <c r="J13" t="s">
        <v>239</v>
      </c>
      <c r="K13">
        <v>1300</v>
      </c>
    </row>
    <row r="14" spans="1:15" x14ac:dyDescent="0.3">
      <c r="A14" t="s">
        <v>23</v>
      </c>
      <c r="B14" s="2">
        <v>46077</v>
      </c>
      <c r="C14" t="s">
        <v>166</v>
      </c>
      <c r="D14" t="s">
        <v>177</v>
      </c>
      <c r="E14">
        <v>3</v>
      </c>
      <c r="F14">
        <v>2700</v>
      </c>
      <c r="G14" t="s">
        <v>191</v>
      </c>
      <c r="H14" t="s">
        <v>232</v>
      </c>
      <c r="I14" t="s">
        <v>236</v>
      </c>
      <c r="J14" t="s">
        <v>239</v>
      </c>
      <c r="K14">
        <v>8100</v>
      </c>
    </row>
    <row r="15" spans="1:15" x14ac:dyDescent="0.3">
      <c r="A15" t="s">
        <v>24</v>
      </c>
      <c r="B15" s="2">
        <v>46086</v>
      </c>
      <c r="C15" t="s">
        <v>169</v>
      </c>
      <c r="D15" t="s">
        <v>177</v>
      </c>
      <c r="E15">
        <v>2</v>
      </c>
      <c r="F15">
        <v>28200</v>
      </c>
      <c r="G15" t="s">
        <v>185</v>
      </c>
      <c r="H15" t="s">
        <v>230</v>
      </c>
      <c r="I15" t="s">
        <v>236</v>
      </c>
      <c r="J15" t="s">
        <v>241</v>
      </c>
      <c r="K15">
        <v>56400</v>
      </c>
    </row>
    <row r="16" spans="1:15" x14ac:dyDescent="0.3">
      <c r="A16" t="s">
        <v>25</v>
      </c>
      <c r="B16" s="2">
        <v>46079</v>
      </c>
      <c r="C16" t="s">
        <v>170</v>
      </c>
      <c r="D16" t="s">
        <v>178</v>
      </c>
      <c r="E16">
        <v>3</v>
      </c>
      <c r="F16">
        <v>700</v>
      </c>
      <c r="G16" t="s">
        <v>181</v>
      </c>
      <c r="H16" t="s">
        <v>233</v>
      </c>
      <c r="I16" t="s">
        <v>237</v>
      </c>
      <c r="J16" t="s">
        <v>239</v>
      </c>
      <c r="K16">
        <v>2100</v>
      </c>
      <c r="N16">
        <f>2498200/150</f>
        <v>16654.666666666668</v>
      </c>
      <c r="O16" t="s">
        <v>244</v>
      </c>
    </row>
    <row r="17" spans="1:11" x14ac:dyDescent="0.3">
      <c r="A17" t="s">
        <v>26</v>
      </c>
      <c r="B17" s="2">
        <v>46062</v>
      </c>
      <c r="C17" t="s">
        <v>167</v>
      </c>
      <c r="D17" t="s">
        <v>176</v>
      </c>
      <c r="E17">
        <v>1</v>
      </c>
      <c r="F17">
        <v>1600</v>
      </c>
      <c r="G17" t="s">
        <v>192</v>
      </c>
      <c r="H17" t="s">
        <v>232</v>
      </c>
      <c r="I17" t="s">
        <v>237</v>
      </c>
      <c r="J17" t="s">
        <v>239</v>
      </c>
      <c r="K17">
        <v>1600</v>
      </c>
    </row>
    <row r="18" spans="1:11" x14ac:dyDescent="0.3">
      <c r="A18" t="s">
        <v>27</v>
      </c>
      <c r="B18" s="2">
        <v>46158</v>
      </c>
      <c r="C18" t="s">
        <v>170</v>
      </c>
      <c r="D18" t="s">
        <v>178</v>
      </c>
      <c r="E18">
        <v>4</v>
      </c>
      <c r="F18">
        <v>800</v>
      </c>
      <c r="G18" t="s">
        <v>185</v>
      </c>
      <c r="H18" t="s">
        <v>229</v>
      </c>
      <c r="I18" t="s">
        <v>237</v>
      </c>
      <c r="J18" t="s">
        <v>240</v>
      </c>
      <c r="K18">
        <v>3200</v>
      </c>
    </row>
    <row r="19" spans="1:11" x14ac:dyDescent="0.3">
      <c r="A19" t="s">
        <v>28</v>
      </c>
      <c r="B19" s="2">
        <v>46187</v>
      </c>
      <c r="C19" t="s">
        <v>171</v>
      </c>
      <c r="D19" t="s">
        <v>176</v>
      </c>
      <c r="E19">
        <v>3</v>
      </c>
      <c r="F19">
        <v>1200</v>
      </c>
      <c r="G19" t="s">
        <v>193</v>
      </c>
      <c r="H19" t="s">
        <v>230</v>
      </c>
      <c r="I19" t="s">
        <v>236</v>
      </c>
      <c r="J19" t="s">
        <v>239</v>
      </c>
      <c r="K19">
        <v>3600</v>
      </c>
    </row>
    <row r="20" spans="1:11" x14ac:dyDescent="0.3">
      <c r="A20" t="s">
        <v>29</v>
      </c>
      <c r="B20" s="2">
        <v>46090</v>
      </c>
      <c r="C20" t="s">
        <v>165</v>
      </c>
      <c r="D20" t="s">
        <v>178</v>
      </c>
      <c r="E20">
        <v>1</v>
      </c>
      <c r="F20">
        <v>1900</v>
      </c>
      <c r="G20" t="s">
        <v>194</v>
      </c>
      <c r="H20" t="s">
        <v>234</v>
      </c>
      <c r="I20" t="s">
        <v>237</v>
      </c>
      <c r="J20" t="s">
        <v>240</v>
      </c>
      <c r="K20">
        <v>1900</v>
      </c>
    </row>
    <row r="21" spans="1:11" x14ac:dyDescent="0.3">
      <c r="A21" t="s">
        <v>30</v>
      </c>
      <c r="B21" s="2">
        <v>46062</v>
      </c>
      <c r="C21" t="s">
        <v>169</v>
      </c>
      <c r="D21" t="s">
        <v>177</v>
      </c>
      <c r="E21">
        <v>2</v>
      </c>
      <c r="F21">
        <v>28000</v>
      </c>
      <c r="G21" t="s">
        <v>194</v>
      </c>
      <c r="H21" t="s">
        <v>234</v>
      </c>
      <c r="I21" t="s">
        <v>237</v>
      </c>
      <c r="J21" t="s">
        <v>241</v>
      </c>
      <c r="K21">
        <v>56000</v>
      </c>
    </row>
    <row r="22" spans="1:11" x14ac:dyDescent="0.3">
      <c r="A22" t="s">
        <v>31</v>
      </c>
      <c r="B22" s="2">
        <v>46027</v>
      </c>
      <c r="C22" t="s">
        <v>168</v>
      </c>
      <c r="D22" t="s">
        <v>178</v>
      </c>
      <c r="E22">
        <v>4</v>
      </c>
      <c r="F22">
        <v>1300</v>
      </c>
      <c r="G22" t="s">
        <v>195</v>
      </c>
      <c r="H22" t="s">
        <v>230</v>
      </c>
      <c r="I22" t="s">
        <v>235</v>
      </c>
      <c r="J22" t="s">
        <v>239</v>
      </c>
      <c r="K22">
        <v>5200</v>
      </c>
    </row>
    <row r="23" spans="1:11" x14ac:dyDescent="0.3">
      <c r="A23" t="s">
        <v>32</v>
      </c>
      <c r="B23" s="2">
        <v>46044</v>
      </c>
      <c r="C23" t="s">
        <v>166</v>
      </c>
      <c r="D23" t="s">
        <v>177</v>
      </c>
      <c r="E23">
        <v>1</v>
      </c>
      <c r="F23">
        <v>2700</v>
      </c>
      <c r="G23" t="s">
        <v>191</v>
      </c>
      <c r="H23" t="s">
        <v>228</v>
      </c>
      <c r="I23" t="s">
        <v>235</v>
      </c>
      <c r="J23" t="s">
        <v>239</v>
      </c>
      <c r="K23">
        <v>2700</v>
      </c>
    </row>
    <row r="24" spans="1:11" x14ac:dyDescent="0.3">
      <c r="A24" t="s">
        <v>33</v>
      </c>
      <c r="B24" s="2">
        <v>46163</v>
      </c>
      <c r="C24" t="s">
        <v>161</v>
      </c>
      <c r="D24" t="s">
        <v>176</v>
      </c>
      <c r="E24">
        <v>4</v>
      </c>
      <c r="F24">
        <v>4400</v>
      </c>
      <c r="G24" t="s">
        <v>196</v>
      </c>
      <c r="H24" t="s">
        <v>232</v>
      </c>
      <c r="I24" t="s">
        <v>235</v>
      </c>
      <c r="J24" t="s">
        <v>241</v>
      </c>
      <c r="K24">
        <v>17600</v>
      </c>
    </row>
    <row r="25" spans="1:11" x14ac:dyDescent="0.3">
      <c r="A25" t="s">
        <v>34</v>
      </c>
      <c r="B25" s="2">
        <v>46102</v>
      </c>
      <c r="C25" t="s">
        <v>172</v>
      </c>
      <c r="D25" t="s">
        <v>176</v>
      </c>
      <c r="E25">
        <v>2</v>
      </c>
      <c r="F25">
        <v>600</v>
      </c>
      <c r="G25" t="s">
        <v>197</v>
      </c>
      <c r="H25" t="s">
        <v>231</v>
      </c>
      <c r="I25" t="s">
        <v>236</v>
      </c>
      <c r="J25" t="s">
        <v>241</v>
      </c>
      <c r="K25">
        <v>1200</v>
      </c>
    </row>
    <row r="26" spans="1:11" x14ac:dyDescent="0.3">
      <c r="A26" t="s">
        <v>35</v>
      </c>
      <c r="B26" s="2">
        <v>46086</v>
      </c>
      <c r="C26" t="s">
        <v>165</v>
      </c>
      <c r="D26" t="s">
        <v>178</v>
      </c>
      <c r="E26">
        <v>1</v>
      </c>
      <c r="F26">
        <v>1700</v>
      </c>
      <c r="G26" t="s">
        <v>198</v>
      </c>
      <c r="H26" t="s">
        <v>231</v>
      </c>
      <c r="I26" t="s">
        <v>237</v>
      </c>
      <c r="J26" t="s">
        <v>241</v>
      </c>
      <c r="K26">
        <v>1700</v>
      </c>
    </row>
    <row r="27" spans="1:11" x14ac:dyDescent="0.3">
      <c r="A27" t="s">
        <v>36</v>
      </c>
      <c r="B27" s="2">
        <v>46173</v>
      </c>
      <c r="C27" t="s">
        <v>173</v>
      </c>
      <c r="D27" t="s">
        <v>178</v>
      </c>
      <c r="E27">
        <v>2</v>
      </c>
      <c r="F27">
        <v>3100</v>
      </c>
      <c r="G27" t="s">
        <v>199</v>
      </c>
      <c r="H27" t="s">
        <v>228</v>
      </c>
      <c r="I27" t="s">
        <v>237</v>
      </c>
      <c r="J27" t="s">
        <v>239</v>
      </c>
      <c r="K27">
        <v>6200</v>
      </c>
    </row>
    <row r="28" spans="1:11" x14ac:dyDescent="0.3">
      <c r="A28" t="s">
        <v>37</v>
      </c>
      <c r="B28" s="2">
        <v>46107</v>
      </c>
      <c r="C28" t="s">
        <v>164</v>
      </c>
      <c r="D28" t="s">
        <v>177</v>
      </c>
      <c r="E28">
        <v>1</v>
      </c>
      <c r="F28">
        <v>1000</v>
      </c>
      <c r="G28" t="s">
        <v>181</v>
      </c>
      <c r="H28" t="s">
        <v>227</v>
      </c>
      <c r="I28" t="s">
        <v>238</v>
      </c>
      <c r="J28" t="s">
        <v>240</v>
      </c>
      <c r="K28">
        <v>1000</v>
      </c>
    </row>
    <row r="29" spans="1:11" x14ac:dyDescent="0.3">
      <c r="A29" t="s">
        <v>38</v>
      </c>
      <c r="B29" s="2">
        <v>46161</v>
      </c>
      <c r="C29" t="s">
        <v>165</v>
      </c>
      <c r="D29" t="s">
        <v>178</v>
      </c>
      <c r="E29">
        <v>2</v>
      </c>
      <c r="F29">
        <v>1700</v>
      </c>
      <c r="G29" t="s">
        <v>200</v>
      </c>
      <c r="H29" t="s">
        <v>233</v>
      </c>
      <c r="I29" t="s">
        <v>235</v>
      </c>
      <c r="J29" t="s">
        <v>239</v>
      </c>
      <c r="K29">
        <v>3400</v>
      </c>
    </row>
    <row r="30" spans="1:11" x14ac:dyDescent="0.3">
      <c r="A30" t="s">
        <v>39</v>
      </c>
      <c r="B30" s="2">
        <v>46071</v>
      </c>
      <c r="C30" t="s">
        <v>172</v>
      </c>
      <c r="D30" t="s">
        <v>176</v>
      </c>
      <c r="E30">
        <v>4</v>
      </c>
      <c r="F30">
        <v>400</v>
      </c>
      <c r="G30" t="s">
        <v>201</v>
      </c>
      <c r="H30" t="s">
        <v>232</v>
      </c>
      <c r="I30" t="s">
        <v>238</v>
      </c>
      <c r="J30" t="s">
        <v>239</v>
      </c>
      <c r="K30">
        <v>1600</v>
      </c>
    </row>
    <row r="31" spans="1:11" x14ac:dyDescent="0.3">
      <c r="A31" t="s">
        <v>40</v>
      </c>
      <c r="B31" s="2">
        <v>46036</v>
      </c>
      <c r="C31" t="s">
        <v>170</v>
      </c>
      <c r="D31" t="s">
        <v>178</v>
      </c>
      <c r="E31">
        <v>4</v>
      </c>
      <c r="F31">
        <v>1000</v>
      </c>
      <c r="G31" t="s">
        <v>202</v>
      </c>
      <c r="H31" t="s">
        <v>228</v>
      </c>
      <c r="I31" t="s">
        <v>237</v>
      </c>
      <c r="J31" t="s">
        <v>239</v>
      </c>
      <c r="K31">
        <v>4000</v>
      </c>
    </row>
    <row r="32" spans="1:11" x14ac:dyDescent="0.3">
      <c r="A32" t="s">
        <v>41</v>
      </c>
      <c r="B32" s="2">
        <v>46050</v>
      </c>
      <c r="C32" t="s">
        <v>162</v>
      </c>
      <c r="D32" t="s">
        <v>176</v>
      </c>
      <c r="E32">
        <v>3</v>
      </c>
      <c r="F32">
        <v>3700</v>
      </c>
      <c r="G32" t="s">
        <v>203</v>
      </c>
      <c r="H32" t="s">
        <v>227</v>
      </c>
      <c r="I32" t="s">
        <v>236</v>
      </c>
      <c r="J32" t="s">
        <v>239</v>
      </c>
      <c r="K32">
        <v>11100</v>
      </c>
    </row>
    <row r="33" spans="1:11" x14ac:dyDescent="0.3">
      <c r="A33" t="s">
        <v>42</v>
      </c>
      <c r="B33" s="2">
        <v>46094</v>
      </c>
      <c r="C33" t="s">
        <v>170</v>
      </c>
      <c r="D33" t="s">
        <v>178</v>
      </c>
      <c r="E33">
        <v>2</v>
      </c>
      <c r="F33">
        <v>800</v>
      </c>
      <c r="G33" t="s">
        <v>204</v>
      </c>
      <c r="H33" t="s">
        <v>228</v>
      </c>
      <c r="I33" t="s">
        <v>236</v>
      </c>
      <c r="J33" t="s">
        <v>241</v>
      </c>
      <c r="K33">
        <v>1600</v>
      </c>
    </row>
    <row r="34" spans="1:11" x14ac:dyDescent="0.3">
      <c r="A34" t="s">
        <v>43</v>
      </c>
      <c r="B34" s="2">
        <v>46189</v>
      </c>
      <c r="C34" t="s">
        <v>164</v>
      </c>
      <c r="D34" t="s">
        <v>177</v>
      </c>
      <c r="E34">
        <v>1</v>
      </c>
      <c r="F34">
        <v>1300</v>
      </c>
      <c r="G34" t="s">
        <v>199</v>
      </c>
      <c r="H34" t="s">
        <v>228</v>
      </c>
      <c r="I34" t="s">
        <v>235</v>
      </c>
      <c r="J34" t="s">
        <v>239</v>
      </c>
      <c r="K34">
        <v>1300</v>
      </c>
    </row>
    <row r="35" spans="1:11" x14ac:dyDescent="0.3">
      <c r="A35" t="s">
        <v>44</v>
      </c>
      <c r="B35" s="2">
        <v>46146</v>
      </c>
      <c r="C35" t="s">
        <v>170</v>
      </c>
      <c r="D35" t="s">
        <v>178</v>
      </c>
      <c r="E35">
        <v>4</v>
      </c>
      <c r="F35">
        <v>700</v>
      </c>
      <c r="G35" t="s">
        <v>205</v>
      </c>
      <c r="H35" t="s">
        <v>229</v>
      </c>
      <c r="I35" t="s">
        <v>235</v>
      </c>
      <c r="J35" t="s">
        <v>239</v>
      </c>
      <c r="K35">
        <v>2800</v>
      </c>
    </row>
    <row r="36" spans="1:11" x14ac:dyDescent="0.3">
      <c r="A36" t="s">
        <v>45</v>
      </c>
      <c r="B36" s="2">
        <v>46090</v>
      </c>
      <c r="C36" t="s">
        <v>163</v>
      </c>
      <c r="D36" t="s">
        <v>177</v>
      </c>
      <c r="E36">
        <v>4</v>
      </c>
      <c r="F36">
        <v>45000</v>
      </c>
      <c r="G36" t="s">
        <v>206</v>
      </c>
      <c r="H36" t="s">
        <v>232</v>
      </c>
      <c r="I36" t="s">
        <v>236</v>
      </c>
      <c r="J36" t="s">
        <v>239</v>
      </c>
      <c r="K36">
        <v>180000</v>
      </c>
    </row>
    <row r="37" spans="1:11" x14ac:dyDescent="0.3">
      <c r="A37" t="s">
        <v>46</v>
      </c>
      <c r="B37" s="2">
        <v>46078</v>
      </c>
      <c r="C37" t="s">
        <v>166</v>
      </c>
      <c r="D37" t="s">
        <v>177</v>
      </c>
      <c r="E37">
        <v>3</v>
      </c>
      <c r="F37">
        <v>2300</v>
      </c>
      <c r="G37" t="s">
        <v>182</v>
      </c>
      <c r="H37" t="s">
        <v>229</v>
      </c>
      <c r="I37" t="s">
        <v>238</v>
      </c>
      <c r="J37" t="s">
        <v>239</v>
      </c>
      <c r="K37">
        <v>6900</v>
      </c>
    </row>
    <row r="38" spans="1:11" x14ac:dyDescent="0.3">
      <c r="A38" t="s">
        <v>47</v>
      </c>
      <c r="B38" s="2">
        <v>46151</v>
      </c>
      <c r="C38" t="s">
        <v>163</v>
      </c>
      <c r="D38" t="s">
        <v>177</v>
      </c>
      <c r="E38">
        <v>4</v>
      </c>
      <c r="F38">
        <v>45100</v>
      </c>
      <c r="G38" t="s">
        <v>192</v>
      </c>
      <c r="H38" t="s">
        <v>229</v>
      </c>
      <c r="I38" t="s">
        <v>237</v>
      </c>
      <c r="J38" t="s">
        <v>239</v>
      </c>
      <c r="K38">
        <v>180400</v>
      </c>
    </row>
    <row r="39" spans="1:11" x14ac:dyDescent="0.3">
      <c r="A39" t="s">
        <v>48</v>
      </c>
      <c r="B39" s="2">
        <v>46195</v>
      </c>
      <c r="C39" t="s">
        <v>164</v>
      </c>
      <c r="D39" t="s">
        <v>177</v>
      </c>
      <c r="E39">
        <v>1</v>
      </c>
      <c r="F39">
        <v>1100</v>
      </c>
      <c r="G39" t="s">
        <v>205</v>
      </c>
      <c r="H39" t="s">
        <v>228</v>
      </c>
      <c r="I39" t="s">
        <v>235</v>
      </c>
      <c r="J39" t="s">
        <v>241</v>
      </c>
      <c r="K39">
        <v>1100</v>
      </c>
    </row>
    <row r="40" spans="1:11" x14ac:dyDescent="0.3">
      <c r="A40" t="s">
        <v>49</v>
      </c>
      <c r="B40" s="2">
        <v>46181</v>
      </c>
      <c r="C40" t="s">
        <v>174</v>
      </c>
      <c r="D40" t="s">
        <v>178</v>
      </c>
      <c r="E40">
        <v>1</v>
      </c>
      <c r="F40">
        <v>2000</v>
      </c>
      <c r="G40" t="s">
        <v>207</v>
      </c>
      <c r="H40" t="s">
        <v>231</v>
      </c>
      <c r="I40" t="s">
        <v>238</v>
      </c>
      <c r="J40" t="s">
        <v>239</v>
      </c>
      <c r="K40">
        <v>2000</v>
      </c>
    </row>
    <row r="41" spans="1:11" x14ac:dyDescent="0.3">
      <c r="A41" t="s">
        <v>50</v>
      </c>
      <c r="B41" s="2">
        <v>46084</v>
      </c>
      <c r="C41" t="s">
        <v>161</v>
      </c>
      <c r="D41" t="s">
        <v>176</v>
      </c>
      <c r="E41">
        <v>3</v>
      </c>
      <c r="F41">
        <v>4500</v>
      </c>
      <c r="G41" t="s">
        <v>205</v>
      </c>
      <c r="H41" t="s">
        <v>234</v>
      </c>
      <c r="I41" t="s">
        <v>238</v>
      </c>
      <c r="J41" t="s">
        <v>239</v>
      </c>
      <c r="K41">
        <v>13500</v>
      </c>
    </row>
    <row r="42" spans="1:11" x14ac:dyDescent="0.3">
      <c r="A42" t="s">
        <v>51</v>
      </c>
      <c r="B42" s="2">
        <v>46025</v>
      </c>
      <c r="C42" t="s">
        <v>168</v>
      </c>
      <c r="D42" t="s">
        <v>178</v>
      </c>
      <c r="E42">
        <v>1</v>
      </c>
      <c r="F42">
        <v>1500</v>
      </c>
      <c r="G42" t="s">
        <v>208</v>
      </c>
      <c r="H42" t="s">
        <v>228</v>
      </c>
      <c r="I42" t="s">
        <v>237</v>
      </c>
      <c r="J42" t="s">
        <v>241</v>
      </c>
      <c r="K42">
        <v>1500</v>
      </c>
    </row>
    <row r="43" spans="1:11" x14ac:dyDescent="0.3">
      <c r="A43" t="s">
        <v>52</v>
      </c>
      <c r="B43" s="2">
        <v>46056</v>
      </c>
      <c r="C43" t="s">
        <v>166</v>
      </c>
      <c r="D43" t="s">
        <v>177</v>
      </c>
      <c r="E43">
        <v>3</v>
      </c>
      <c r="F43">
        <v>2500</v>
      </c>
      <c r="G43" t="s">
        <v>198</v>
      </c>
      <c r="H43" t="s">
        <v>227</v>
      </c>
      <c r="I43" t="s">
        <v>238</v>
      </c>
      <c r="J43" t="s">
        <v>239</v>
      </c>
      <c r="K43">
        <v>7500</v>
      </c>
    </row>
    <row r="44" spans="1:11" x14ac:dyDescent="0.3">
      <c r="A44" t="s">
        <v>53</v>
      </c>
      <c r="B44" s="2">
        <v>46162</v>
      </c>
      <c r="C44" t="s">
        <v>175</v>
      </c>
      <c r="D44" t="s">
        <v>177</v>
      </c>
      <c r="E44">
        <v>4</v>
      </c>
      <c r="F44">
        <v>2000</v>
      </c>
      <c r="G44" t="s">
        <v>209</v>
      </c>
      <c r="H44" t="s">
        <v>229</v>
      </c>
      <c r="I44" t="s">
        <v>238</v>
      </c>
      <c r="J44" t="s">
        <v>240</v>
      </c>
      <c r="K44">
        <v>8000</v>
      </c>
    </row>
    <row r="45" spans="1:11" x14ac:dyDescent="0.3">
      <c r="A45" t="s">
        <v>54</v>
      </c>
      <c r="B45" s="2">
        <v>46090</v>
      </c>
      <c r="C45" t="s">
        <v>164</v>
      </c>
      <c r="D45" t="s">
        <v>177</v>
      </c>
      <c r="E45">
        <v>2</v>
      </c>
      <c r="F45">
        <v>1000</v>
      </c>
      <c r="G45" t="s">
        <v>201</v>
      </c>
      <c r="H45" t="s">
        <v>234</v>
      </c>
      <c r="I45" t="s">
        <v>238</v>
      </c>
      <c r="J45" t="s">
        <v>239</v>
      </c>
      <c r="K45">
        <v>2000</v>
      </c>
    </row>
    <row r="46" spans="1:11" x14ac:dyDescent="0.3">
      <c r="A46" t="s">
        <v>55</v>
      </c>
      <c r="B46" s="2">
        <v>46110</v>
      </c>
      <c r="C46" t="s">
        <v>174</v>
      </c>
      <c r="D46" t="s">
        <v>178</v>
      </c>
      <c r="E46">
        <v>2</v>
      </c>
      <c r="F46">
        <v>2100</v>
      </c>
      <c r="G46" t="s">
        <v>210</v>
      </c>
      <c r="H46" t="s">
        <v>230</v>
      </c>
      <c r="I46" t="s">
        <v>236</v>
      </c>
      <c r="J46" t="s">
        <v>239</v>
      </c>
      <c r="K46">
        <v>4200</v>
      </c>
    </row>
    <row r="47" spans="1:11" x14ac:dyDescent="0.3">
      <c r="A47" t="s">
        <v>56</v>
      </c>
      <c r="B47" s="2">
        <v>46046</v>
      </c>
      <c r="C47" t="s">
        <v>171</v>
      </c>
      <c r="D47" t="s">
        <v>176</v>
      </c>
      <c r="E47">
        <v>1</v>
      </c>
      <c r="F47">
        <v>1400</v>
      </c>
      <c r="G47" t="s">
        <v>211</v>
      </c>
      <c r="H47" t="s">
        <v>230</v>
      </c>
      <c r="I47" t="s">
        <v>237</v>
      </c>
      <c r="J47" t="s">
        <v>239</v>
      </c>
      <c r="K47">
        <v>1400</v>
      </c>
    </row>
    <row r="48" spans="1:11" x14ac:dyDescent="0.3">
      <c r="A48" t="s">
        <v>57</v>
      </c>
      <c r="B48" s="2">
        <v>46186</v>
      </c>
      <c r="C48" t="s">
        <v>168</v>
      </c>
      <c r="D48" t="s">
        <v>178</v>
      </c>
      <c r="E48">
        <v>2</v>
      </c>
      <c r="F48">
        <v>1500</v>
      </c>
      <c r="G48" t="s">
        <v>192</v>
      </c>
      <c r="H48" t="s">
        <v>233</v>
      </c>
      <c r="I48" t="s">
        <v>236</v>
      </c>
      <c r="J48" t="s">
        <v>241</v>
      </c>
      <c r="K48">
        <v>3000</v>
      </c>
    </row>
    <row r="49" spans="1:11" x14ac:dyDescent="0.3">
      <c r="A49" t="s">
        <v>58</v>
      </c>
      <c r="B49" s="2">
        <v>46042</v>
      </c>
      <c r="C49" t="s">
        <v>163</v>
      </c>
      <c r="D49" t="s">
        <v>177</v>
      </c>
      <c r="E49">
        <v>1</v>
      </c>
      <c r="F49">
        <v>45200</v>
      </c>
      <c r="G49" t="s">
        <v>183</v>
      </c>
      <c r="H49" t="s">
        <v>229</v>
      </c>
      <c r="I49" t="s">
        <v>238</v>
      </c>
      <c r="J49" t="s">
        <v>241</v>
      </c>
      <c r="K49">
        <v>45200</v>
      </c>
    </row>
    <row r="50" spans="1:11" x14ac:dyDescent="0.3">
      <c r="A50" t="s">
        <v>59</v>
      </c>
      <c r="B50" s="2">
        <v>46133</v>
      </c>
      <c r="C50" t="s">
        <v>173</v>
      </c>
      <c r="D50" t="s">
        <v>178</v>
      </c>
      <c r="E50">
        <v>2</v>
      </c>
      <c r="F50">
        <v>3100</v>
      </c>
      <c r="G50" t="s">
        <v>212</v>
      </c>
      <c r="H50" t="s">
        <v>230</v>
      </c>
      <c r="I50" t="s">
        <v>238</v>
      </c>
      <c r="J50" t="s">
        <v>239</v>
      </c>
      <c r="K50">
        <v>6200</v>
      </c>
    </row>
    <row r="51" spans="1:11" x14ac:dyDescent="0.3">
      <c r="A51" t="s">
        <v>60</v>
      </c>
      <c r="B51" s="2">
        <v>46076</v>
      </c>
      <c r="C51" t="s">
        <v>171</v>
      </c>
      <c r="D51" t="s">
        <v>176</v>
      </c>
      <c r="E51">
        <v>3</v>
      </c>
      <c r="F51">
        <v>1400</v>
      </c>
      <c r="G51" t="s">
        <v>204</v>
      </c>
      <c r="H51" t="s">
        <v>228</v>
      </c>
      <c r="I51" t="s">
        <v>238</v>
      </c>
      <c r="J51" t="s">
        <v>241</v>
      </c>
      <c r="K51">
        <v>4200</v>
      </c>
    </row>
    <row r="52" spans="1:11" x14ac:dyDescent="0.3">
      <c r="A52" t="s">
        <v>61</v>
      </c>
      <c r="B52" s="2">
        <v>46181</v>
      </c>
      <c r="C52" t="s">
        <v>171</v>
      </c>
      <c r="D52" t="s">
        <v>176</v>
      </c>
      <c r="E52">
        <v>4</v>
      </c>
      <c r="F52">
        <v>1400</v>
      </c>
      <c r="G52" t="s">
        <v>183</v>
      </c>
      <c r="H52" t="s">
        <v>227</v>
      </c>
      <c r="I52" t="s">
        <v>235</v>
      </c>
      <c r="J52" t="s">
        <v>239</v>
      </c>
      <c r="K52">
        <v>5600</v>
      </c>
    </row>
    <row r="53" spans="1:11" x14ac:dyDescent="0.3">
      <c r="A53" t="s">
        <v>62</v>
      </c>
      <c r="B53" s="2">
        <v>46029</v>
      </c>
      <c r="C53" t="s">
        <v>171</v>
      </c>
      <c r="D53" t="s">
        <v>176</v>
      </c>
      <c r="E53">
        <v>4</v>
      </c>
      <c r="F53">
        <v>1100</v>
      </c>
      <c r="G53" t="s">
        <v>213</v>
      </c>
      <c r="H53" t="s">
        <v>231</v>
      </c>
      <c r="I53" t="s">
        <v>236</v>
      </c>
      <c r="J53" t="s">
        <v>240</v>
      </c>
      <c r="K53">
        <v>4400</v>
      </c>
    </row>
    <row r="54" spans="1:11" x14ac:dyDescent="0.3">
      <c r="A54" t="s">
        <v>63</v>
      </c>
      <c r="B54" s="2">
        <v>46091</v>
      </c>
      <c r="C54" t="s">
        <v>167</v>
      </c>
      <c r="D54" t="s">
        <v>176</v>
      </c>
      <c r="E54">
        <v>2</v>
      </c>
      <c r="F54">
        <v>1300</v>
      </c>
      <c r="G54" t="s">
        <v>188</v>
      </c>
      <c r="H54" t="s">
        <v>228</v>
      </c>
      <c r="I54" t="s">
        <v>236</v>
      </c>
      <c r="J54" t="s">
        <v>239</v>
      </c>
      <c r="K54">
        <v>2600</v>
      </c>
    </row>
    <row r="55" spans="1:11" x14ac:dyDescent="0.3">
      <c r="A55" t="s">
        <v>64</v>
      </c>
      <c r="B55" s="2">
        <v>46079</v>
      </c>
      <c r="C55" t="s">
        <v>167</v>
      </c>
      <c r="D55" t="s">
        <v>176</v>
      </c>
      <c r="E55">
        <v>4</v>
      </c>
      <c r="F55">
        <v>1300</v>
      </c>
      <c r="G55" t="s">
        <v>187</v>
      </c>
      <c r="H55" t="s">
        <v>231</v>
      </c>
      <c r="I55" t="s">
        <v>238</v>
      </c>
      <c r="J55" t="s">
        <v>239</v>
      </c>
      <c r="K55">
        <v>5200</v>
      </c>
    </row>
    <row r="56" spans="1:11" x14ac:dyDescent="0.3">
      <c r="A56" t="s">
        <v>65</v>
      </c>
      <c r="B56" s="2">
        <v>46191</v>
      </c>
      <c r="C56" t="s">
        <v>166</v>
      </c>
      <c r="D56" t="s">
        <v>177</v>
      </c>
      <c r="E56">
        <v>1</v>
      </c>
      <c r="F56">
        <v>2400</v>
      </c>
      <c r="G56" t="s">
        <v>205</v>
      </c>
      <c r="H56" t="s">
        <v>231</v>
      </c>
      <c r="I56" t="s">
        <v>238</v>
      </c>
      <c r="J56" t="s">
        <v>239</v>
      </c>
      <c r="K56">
        <v>2400</v>
      </c>
    </row>
    <row r="57" spans="1:11" x14ac:dyDescent="0.3">
      <c r="A57" t="s">
        <v>66</v>
      </c>
      <c r="B57" s="2">
        <v>46112</v>
      </c>
      <c r="C57" t="s">
        <v>172</v>
      </c>
      <c r="D57" t="s">
        <v>176</v>
      </c>
      <c r="E57">
        <v>3</v>
      </c>
      <c r="F57">
        <v>800</v>
      </c>
      <c r="G57" t="s">
        <v>181</v>
      </c>
      <c r="H57" t="s">
        <v>232</v>
      </c>
      <c r="I57" t="s">
        <v>238</v>
      </c>
      <c r="J57" t="s">
        <v>239</v>
      </c>
      <c r="K57">
        <v>2400</v>
      </c>
    </row>
    <row r="58" spans="1:11" x14ac:dyDescent="0.3">
      <c r="A58" t="s">
        <v>67</v>
      </c>
      <c r="B58" s="2">
        <v>46068</v>
      </c>
      <c r="C58" t="s">
        <v>164</v>
      </c>
      <c r="D58" t="s">
        <v>177</v>
      </c>
      <c r="E58">
        <v>3</v>
      </c>
      <c r="F58">
        <v>1300</v>
      </c>
      <c r="G58" t="s">
        <v>196</v>
      </c>
      <c r="H58" t="s">
        <v>229</v>
      </c>
      <c r="I58" t="s">
        <v>237</v>
      </c>
      <c r="J58" t="s">
        <v>241</v>
      </c>
      <c r="K58">
        <v>3900</v>
      </c>
    </row>
    <row r="59" spans="1:11" x14ac:dyDescent="0.3">
      <c r="A59" t="s">
        <v>68</v>
      </c>
      <c r="B59" s="2">
        <v>46103</v>
      </c>
      <c r="C59" t="s">
        <v>170</v>
      </c>
      <c r="D59" t="s">
        <v>178</v>
      </c>
      <c r="E59">
        <v>3</v>
      </c>
      <c r="F59">
        <v>800</v>
      </c>
      <c r="G59" t="s">
        <v>214</v>
      </c>
      <c r="H59" t="s">
        <v>228</v>
      </c>
      <c r="I59" t="s">
        <v>236</v>
      </c>
      <c r="J59" t="s">
        <v>241</v>
      </c>
      <c r="K59">
        <v>2400</v>
      </c>
    </row>
    <row r="60" spans="1:11" x14ac:dyDescent="0.3">
      <c r="A60" t="s">
        <v>69</v>
      </c>
      <c r="B60" s="2">
        <v>46034</v>
      </c>
      <c r="C60" t="s">
        <v>166</v>
      </c>
      <c r="D60" t="s">
        <v>177</v>
      </c>
      <c r="E60">
        <v>3</v>
      </c>
      <c r="F60">
        <v>2700</v>
      </c>
      <c r="G60" t="s">
        <v>211</v>
      </c>
      <c r="H60" t="s">
        <v>229</v>
      </c>
      <c r="I60" t="s">
        <v>235</v>
      </c>
      <c r="J60" t="s">
        <v>239</v>
      </c>
      <c r="K60">
        <v>8100</v>
      </c>
    </row>
    <row r="61" spans="1:11" x14ac:dyDescent="0.3">
      <c r="A61" t="s">
        <v>70</v>
      </c>
      <c r="B61" s="2">
        <v>46193</v>
      </c>
      <c r="C61" t="s">
        <v>170</v>
      </c>
      <c r="D61" t="s">
        <v>178</v>
      </c>
      <c r="E61">
        <v>1</v>
      </c>
      <c r="F61">
        <v>800</v>
      </c>
      <c r="G61" t="s">
        <v>208</v>
      </c>
      <c r="H61" t="s">
        <v>231</v>
      </c>
      <c r="I61" t="s">
        <v>237</v>
      </c>
      <c r="J61" t="s">
        <v>240</v>
      </c>
      <c r="K61">
        <v>800</v>
      </c>
    </row>
    <row r="62" spans="1:11" x14ac:dyDescent="0.3">
      <c r="A62" t="s">
        <v>71</v>
      </c>
      <c r="B62" s="2">
        <v>46152</v>
      </c>
      <c r="C62" t="s">
        <v>171</v>
      </c>
      <c r="D62" t="s">
        <v>176</v>
      </c>
      <c r="E62">
        <v>3</v>
      </c>
      <c r="F62">
        <v>1200</v>
      </c>
      <c r="G62" t="s">
        <v>197</v>
      </c>
      <c r="H62" t="s">
        <v>232</v>
      </c>
      <c r="I62" t="s">
        <v>238</v>
      </c>
      <c r="J62" t="s">
        <v>239</v>
      </c>
      <c r="K62">
        <v>3600</v>
      </c>
    </row>
    <row r="63" spans="1:11" x14ac:dyDescent="0.3">
      <c r="A63" t="s">
        <v>72</v>
      </c>
      <c r="B63" s="2">
        <v>46164</v>
      </c>
      <c r="C63" t="s">
        <v>162</v>
      </c>
      <c r="D63" t="s">
        <v>176</v>
      </c>
      <c r="E63">
        <v>3</v>
      </c>
      <c r="F63">
        <v>3700</v>
      </c>
      <c r="G63" t="s">
        <v>203</v>
      </c>
      <c r="H63" t="s">
        <v>232</v>
      </c>
      <c r="I63" t="s">
        <v>236</v>
      </c>
      <c r="J63" t="s">
        <v>240</v>
      </c>
      <c r="K63">
        <v>11100</v>
      </c>
    </row>
    <row r="64" spans="1:11" x14ac:dyDescent="0.3">
      <c r="A64" t="s">
        <v>73</v>
      </c>
      <c r="B64" s="2">
        <v>46180</v>
      </c>
      <c r="C64" t="s">
        <v>162</v>
      </c>
      <c r="D64" t="s">
        <v>176</v>
      </c>
      <c r="E64">
        <v>2</v>
      </c>
      <c r="F64">
        <v>3900</v>
      </c>
      <c r="G64" t="s">
        <v>209</v>
      </c>
      <c r="H64" t="s">
        <v>232</v>
      </c>
      <c r="I64" t="s">
        <v>237</v>
      </c>
      <c r="J64" t="s">
        <v>239</v>
      </c>
      <c r="K64">
        <v>7800</v>
      </c>
    </row>
    <row r="65" spans="1:11" x14ac:dyDescent="0.3">
      <c r="A65" t="s">
        <v>74</v>
      </c>
      <c r="B65" s="2">
        <v>46133</v>
      </c>
      <c r="C65" t="s">
        <v>169</v>
      </c>
      <c r="D65" t="s">
        <v>177</v>
      </c>
      <c r="E65">
        <v>2</v>
      </c>
      <c r="F65">
        <v>28100</v>
      </c>
      <c r="G65" t="s">
        <v>214</v>
      </c>
      <c r="H65" t="s">
        <v>231</v>
      </c>
      <c r="I65" t="s">
        <v>236</v>
      </c>
      <c r="J65" t="s">
        <v>239</v>
      </c>
      <c r="K65">
        <v>56200</v>
      </c>
    </row>
    <row r="66" spans="1:11" x14ac:dyDescent="0.3">
      <c r="A66" t="s">
        <v>75</v>
      </c>
      <c r="B66" s="2">
        <v>46153</v>
      </c>
      <c r="C66" t="s">
        <v>165</v>
      </c>
      <c r="D66" t="s">
        <v>178</v>
      </c>
      <c r="E66">
        <v>2</v>
      </c>
      <c r="F66">
        <v>1800</v>
      </c>
      <c r="G66" t="s">
        <v>213</v>
      </c>
      <c r="H66" t="s">
        <v>234</v>
      </c>
      <c r="I66" t="s">
        <v>237</v>
      </c>
      <c r="J66" t="s">
        <v>239</v>
      </c>
      <c r="K66">
        <v>3600</v>
      </c>
    </row>
    <row r="67" spans="1:11" x14ac:dyDescent="0.3">
      <c r="A67" t="s">
        <v>76</v>
      </c>
      <c r="B67" s="2">
        <v>46046</v>
      </c>
      <c r="C67" t="s">
        <v>173</v>
      </c>
      <c r="D67" t="s">
        <v>178</v>
      </c>
      <c r="E67">
        <v>3</v>
      </c>
      <c r="F67">
        <v>3100</v>
      </c>
      <c r="G67" t="s">
        <v>210</v>
      </c>
      <c r="H67" t="s">
        <v>230</v>
      </c>
      <c r="I67" t="s">
        <v>235</v>
      </c>
      <c r="J67" t="s">
        <v>239</v>
      </c>
      <c r="K67">
        <v>9300</v>
      </c>
    </row>
    <row r="68" spans="1:11" x14ac:dyDescent="0.3">
      <c r="A68" t="s">
        <v>77</v>
      </c>
      <c r="B68" s="2">
        <v>46034</v>
      </c>
      <c r="C68" t="s">
        <v>175</v>
      </c>
      <c r="D68" t="s">
        <v>177</v>
      </c>
      <c r="E68">
        <v>1</v>
      </c>
      <c r="F68">
        <v>1700</v>
      </c>
      <c r="G68" t="s">
        <v>215</v>
      </c>
      <c r="H68" t="s">
        <v>228</v>
      </c>
      <c r="I68" t="s">
        <v>236</v>
      </c>
      <c r="J68" t="s">
        <v>239</v>
      </c>
      <c r="K68">
        <v>1700</v>
      </c>
    </row>
    <row r="69" spans="1:11" x14ac:dyDescent="0.3">
      <c r="A69" t="s">
        <v>78</v>
      </c>
      <c r="B69" s="2">
        <v>46201</v>
      </c>
      <c r="C69" t="s">
        <v>171</v>
      </c>
      <c r="D69" t="s">
        <v>176</v>
      </c>
      <c r="E69">
        <v>2</v>
      </c>
      <c r="F69">
        <v>1200</v>
      </c>
      <c r="G69" t="s">
        <v>191</v>
      </c>
      <c r="H69" t="s">
        <v>232</v>
      </c>
      <c r="I69" t="s">
        <v>235</v>
      </c>
      <c r="J69" t="s">
        <v>239</v>
      </c>
      <c r="K69">
        <v>2400</v>
      </c>
    </row>
    <row r="70" spans="1:11" x14ac:dyDescent="0.3">
      <c r="A70" t="s">
        <v>79</v>
      </c>
      <c r="B70" s="2">
        <v>46050</v>
      </c>
      <c r="C70" t="s">
        <v>161</v>
      </c>
      <c r="D70" t="s">
        <v>176</v>
      </c>
      <c r="E70">
        <v>1</v>
      </c>
      <c r="F70">
        <v>4500</v>
      </c>
      <c r="G70" t="s">
        <v>186</v>
      </c>
      <c r="H70" t="s">
        <v>234</v>
      </c>
      <c r="I70" t="s">
        <v>236</v>
      </c>
      <c r="J70" t="s">
        <v>239</v>
      </c>
      <c r="K70">
        <v>4500</v>
      </c>
    </row>
    <row r="71" spans="1:11" x14ac:dyDescent="0.3">
      <c r="A71" t="s">
        <v>80</v>
      </c>
      <c r="B71" s="2">
        <v>46054</v>
      </c>
      <c r="C71" t="s">
        <v>173</v>
      </c>
      <c r="D71" t="s">
        <v>178</v>
      </c>
      <c r="E71">
        <v>2</v>
      </c>
      <c r="F71">
        <v>3200</v>
      </c>
      <c r="G71" t="s">
        <v>216</v>
      </c>
      <c r="H71" t="s">
        <v>233</v>
      </c>
      <c r="I71" t="s">
        <v>238</v>
      </c>
      <c r="J71" t="s">
        <v>239</v>
      </c>
      <c r="K71">
        <v>6400</v>
      </c>
    </row>
    <row r="72" spans="1:11" x14ac:dyDescent="0.3">
      <c r="A72" t="s">
        <v>81</v>
      </c>
      <c r="B72" s="2">
        <v>46163</v>
      </c>
      <c r="C72" t="s">
        <v>174</v>
      </c>
      <c r="D72" t="s">
        <v>178</v>
      </c>
      <c r="E72">
        <v>4</v>
      </c>
      <c r="F72">
        <v>2200</v>
      </c>
      <c r="G72" t="s">
        <v>192</v>
      </c>
      <c r="H72" t="s">
        <v>233</v>
      </c>
      <c r="I72" t="s">
        <v>236</v>
      </c>
      <c r="J72" t="s">
        <v>239</v>
      </c>
      <c r="K72">
        <v>8800</v>
      </c>
    </row>
    <row r="73" spans="1:11" x14ac:dyDescent="0.3">
      <c r="A73" t="s">
        <v>82</v>
      </c>
      <c r="B73" s="2">
        <v>46186</v>
      </c>
      <c r="C73" t="s">
        <v>172</v>
      </c>
      <c r="D73" t="s">
        <v>176</v>
      </c>
      <c r="E73">
        <v>2</v>
      </c>
      <c r="F73">
        <v>600</v>
      </c>
      <c r="G73" t="s">
        <v>217</v>
      </c>
      <c r="H73" t="s">
        <v>233</v>
      </c>
      <c r="I73" t="s">
        <v>235</v>
      </c>
      <c r="J73" t="s">
        <v>239</v>
      </c>
      <c r="K73">
        <v>1200</v>
      </c>
    </row>
    <row r="74" spans="1:11" x14ac:dyDescent="0.3">
      <c r="A74" t="s">
        <v>83</v>
      </c>
      <c r="B74" s="2">
        <v>46096</v>
      </c>
      <c r="C74" t="s">
        <v>165</v>
      </c>
      <c r="D74" t="s">
        <v>178</v>
      </c>
      <c r="E74">
        <v>1</v>
      </c>
      <c r="F74">
        <v>1700</v>
      </c>
      <c r="G74" t="s">
        <v>179</v>
      </c>
      <c r="H74" t="s">
        <v>231</v>
      </c>
      <c r="I74" t="s">
        <v>238</v>
      </c>
      <c r="J74" t="s">
        <v>241</v>
      </c>
      <c r="K74">
        <v>1700</v>
      </c>
    </row>
    <row r="75" spans="1:11" x14ac:dyDescent="0.3">
      <c r="A75" t="s">
        <v>84</v>
      </c>
      <c r="B75" s="2">
        <v>46061</v>
      </c>
      <c r="C75" t="s">
        <v>164</v>
      </c>
      <c r="D75" t="s">
        <v>177</v>
      </c>
      <c r="E75">
        <v>2</v>
      </c>
      <c r="F75">
        <v>1100</v>
      </c>
      <c r="G75" t="s">
        <v>189</v>
      </c>
      <c r="H75" t="s">
        <v>234</v>
      </c>
      <c r="I75" t="s">
        <v>235</v>
      </c>
      <c r="J75" t="s">
        <v>239</v>
      </c>
      <c r="K75">
        <v>2200</v>
      </c>
    </row>
    <row r="76" spans="1:11" x14ac:dyDescent="0.3">
      <c r="A76" t="s">
        <v>85</v>
      </c>
      <c r="B76" s="2">
        <v>46107</v>
      </c>
      <c r="C76" t="s">
        <v>170</v>
      </c>
      <c r="D76" t="s">
        <v>178</v>
      </c>
      <c r="E76">
        <v>4</v>
      </c>
      <c r="F76">
        <v>900</v>
      </c>
      <c r="G76" t="s">
        <v>187</v>
      </c>
      <c r="H76" t="s">
        <v>232</v>
      </c>
      <c r="I76" t="s">
        <v>237</v>
      </c>
      <c r="J76" t="s">
        <v>239</v>
      </c>
      <c r="K76">
        <v>3600</v>
      </c>
    </row>
    <row r="77" spans="1:11" x14ac:dyDescent="0.3">
      <c r="A77" t="s">
        <v>86</v>
      </c>
      <c r="B77" s="2">
        <v>46122</v>
      </c>
      <c r="C77" t="s">
        <v>167</v>
      </c>
      <c r="D77" t="s">
        <v>176</v>
      </c>
      <c r="E77">
        <v>4</v>
      </c>
      <c r="F77">
        <v>1500</v>
      </c>
      <c r="G77" t="s">
        <v>188</v>
      </c>
      <c r="H77" t="s">
        <v>229</v>
      </c>
      <c r="I77" t="s">
        <v>236</v>
      </c>
      <c r="J77" t="s">
        <v>239</v>
      </c>
      <c r="K77">
        <v>6000</v>
      </c>
    </row>
    <row r="78" spans="1:11" x14ac:dyDescent="0.3">
      <c r="A78" t="s">
        <v>87</v>
      </c>
      <c r="B78" s="2">
        <v>46099</v>
      </c>
      <c r="C78" t="s">
        <v>163</v>
      </c>
      <c r="D78" t="s">
        <v>177</v>
      </c>
      <c r="E78">
        <v>3</v>
      </c>
      <c r="F78">
        <v>45000</v>
      </c>
      <c r="G78" t="s">
        <v>207</v>
      </c>
      <c r="H78" t="s">
        <v>227</v>
      </c>
      <c r="I78" t="s">
        <v>236</v>
      </c>
      <c r="J78" t="s">
        <v>239</v>
      </c>
      <c r="K78">
        <v>135000</v>
      </c>
    </row>
    <row r="79" spans="1:11" x14ac:dyDescent="0.3">
      <c r="A79" t="s">
        <v>88</v>
      </c>
      <c r="B79" s="2">
        <v>46147</v>
      </c>
      <c r="C79" t="s">
        <v>169</v>
      </c>
      <c r="D79" t="s">
        <v>177</v>
      </c>
      <c r="E79">
        <v>4</v>
      </c>
      <c r="F79">
        <v>27800</v>
      </c>
      <c r="G79" t="s">
        <v>189</v>
      </c>
      <c r="H79" t="s">
        <v>231</v>
      </c>
      <c r="I79" t="s">
        <v>236</v>
      </c>
      <c r="J79" t="s">
        <v>240</v>
      </c>
      <c r="K79">
        <v>111200</v>
      </c>
    </row>
    <row r="80" spans="1:11" x14ac:dyDescent="0.3">
      <c r="A80" t="s">
        <v>89</v>
      </c>
      <c r="B80" s="2">
        <v>46055</v>
      </c>
      <c r="C80" t="s">
        <v>175</v>
      </c>
      <c r="D80" t="s">
        <v>177</v>
      </c>
      <c r="E80">
        <v>4</v>
      </c>
      <c r="F80">
        <v>1900</v>
      </c>
      <c r="G80" t="s">
        <v>180</v>
      </c>
      <c r="H80" t="s">
        <v>229</v>
      </c>
      <c r="I80" t="s">
        <v>236</v>
      </c>
      <c r="J80" t="s">
        <v>241</v>
      </c>
      <c r="K80">
        <v>7600</v>
      </c>
    </row>
    <row r="81" spans="1:11" x14ac:dyDescent="0.3">
      <c r="A81" t="s">
        <v>90</v>
      </c>
      <c r="B81" s="2">
        <v>46044</v>
      </c>
      <c r="C81" t="s">
        <v>174</v>
      </c>
      <c r="D81" t="s">
        <v>178</v>
      </c>
      <c r="E81">
        <v>1</v>
      </c>
      <c r="F81">
        <v>2400</v>
      </c>
      <c r="G81" t="s">
        <v>211</v>
      </c>
      <c r="H81" t="s">
        <v>234</v>
      </c>
      <c r="I81" t="s">
        <v>236</v>
      </c>
      <c r="J81" t="s">
        <v>239</v>
      </c>
      <c r="K81">
        <v>2400</v>
      </c>
    </row>
    <row r="82" spans="1:11" x14ac:dyDescent="0.3">
      <c r="A82" t="s">
        <v>91</v>
      </c>
      <c r="B82" s="2">
        <v>46120</v>
      </c>
      <c r="C82" t="s">
        <v>163</v>
      </c>
      <c r="D82" t="s">
        <v>177</v>
      </c>
      <c r="E82">
        <v>3</v>
      </c>
      <c r="F82">
        <v>45000</v>
      </c>
      <c r="G82" t="s">
        <v>218</v>
      </c>
      <c r="H82" t="s">
        <v>233</v>
      </c>
      <c r="I82" t="s">
        <v>238</v>
      </c>
      <c r="J82" t="s">
        <v>239</v>
      </c>
      <c r="K82">
        <v>135000</v>
      </c>
    </row>
    <row r="83" spans="1:11" x14ac:dyDescent="0.3">
      <c r="A83" t="s">
        <v>92</v>
      </c>
      <c r="B83" s="2">
        <v>46094</v>
      </c>
      <c r="C83" t="s">
        <v>172</v>
      </c>
      <c r="D83" t="s">
        <v>176</v>
      </c>
      <c r="E83">
        <v>4</v>
      </c>
      <c r="F83">
        <v>600</v>
      </c>
      <c r="G83" t="s">
        <v>196</v>
      </c>
      <c r="H83" t="s">
        <v>228</v>
      </c>
      <c r="I83" t="s">
        <v>236</v>
      </c>
      <c r="J83" t="s">
        <v>239</v>
      </c>
      <c r="K83">
        <v>2400</v>
      </c>
    </row>
    <row r="84" spans="1:11" x14ac:dyDescent="0.3">
      <c r="A84" t="s">
        <v>93</v>
      </c>
      <c r="B84" s="2">
        <v>46112</v>
      </c>
      <c r="C84" t="s">
        <v>162</v>
      </c>
      <c r="D84" t="s">
        <v>176</v>
      </c>
      <c r="E84">
        <v>1</v>
      </c>
      <c r="F84">
        <v>3700</v>
      </c>
      <c r="G84" t="s">
        <v>202</v>
      </c>
      <c r="H84" t="s">
        <v>228</v>
      </c>
      <c r="I84" t="s">
        <v>237</v>
      </c>
      <c r="J84" t="s">
        <v>239</v>
      </c>
      <c r="K84">
        <v>3700</v>
      </c>
    </row>
    <row r="85" spans="1:11" x14ac:dyDescent="0.3">
      <c r="A85" t="s">
        <v>94</v>
      </c>
      <c r="B85" s="2">
        <v>46028</v>
      </c>
      <c r="C85" t="s">
        <v>166</v>
      </c>
      <c r="D85" t="s">
        <v>177</v>
      </c>
      <c r="E85">
        <v>2</v>
      </c>
      <c r="F85">
        <v>2600</v>
      </c>
      <c r="G85" t="s">
        <v>183</v>
      </c>
      <c r="H85" t="s">
        <v>227</v>
      </c>
      <c r="I85" t="s">
        <v>235</v>
      </c>
      <c r="J85" t="s">
        <v>239</v>
      </c>
      <c r="K85">
        <v>5200</v>
      </c>
    </row>
    <row r="86" spans="1:11" x14ac:dyDescent="0.3">
      <c r="A86" t="s">
        <v>95</v>
      </c>
      <c r="B86" s="2">
        <v>46167</v>
      </c>
      <c r="C86" t="s">
        <v>161</v>
      </c>
      <c r="D86" t="s">
        <v>176</v>
      </c>
      <c r="E86">
        <v>1</v>
      </c>
      <c r="F86">
        <v>4400</v>
      </c>
      <c r="G86" t="s">
        <v>187</v>
      </c>
      <c r="H86" t="s">
        <v>230</v>
      </c>
      <c r="I86" t="s">
        <v>238</v>
      </c>
      <c r="J86" t="s">
        <v>239</v>
      </c>
      <c r="K86">
        <v>4400</v>
      </c>
    </row>
    <row r="87" spans="1:11" x14ac:dyDescent="0.3">
      <c r="A87" t="s">
        <v>96</v>
      </c>
      <c r="B87" s="2">
        <v>46064</v>
      </c>
      <c r="C87" t="s">
        <v>174</v>
      </c>
      <c r="D87" t="s">
        <v>178</v>
      </c>
      <c r="E87">
        <v>1</v>
      </c>
      <c r="F87">
        <v>2200</v>
      </c>
      <c r="G87" t="s">
        <v>201</v>
      </c>
      <c r="H87" t="s">
        <v>229</v>
      </c>
      <c r="I87" t="s">
        <v>238</v>
      </c>
      <c r="J87" t="s">
        <v>241</v>
      </c>
      <c r="K87">
        <v>2200</v>
      </c>
    </row>
    <row r="88" spans="1:11" x14ac:dyDescent="0.3">
      <c r="A88" t="s">
        <v>97</v>
      </c>
      <c r="B88" s="2">
        <v>46124</v>
      </c>
      <c r="C88" t="s">
        <v>161</v>
      </c>
      <c r="D88" t="s">
        <v>176</v>
      </c>
      <c r="E88">
        <v>4</v>
      </c>
      <c r="F88">
        <v>4700</v>
      </c>
      <c r="G88" t="s">
        <v>203</v>
      </c>
      <c r="H88" t="s">
        <v>228</v>
      </c>
      <c r="I88" t="s">
        <v>235</v>
      </c>
      <c r="J88" t="s">
        <v>239</v>
      </c>
      <c r="K88">
        <v>18800</v>
      </c>
    </row>
    <row r="89" spans="1:11" x14ac:dyDescent="0.3">
      <c r="A89" t="s">
        <v>98</v>
      </c>
      <c r="B89" s="2">
        <v>46198</v>
      </c>
      <c r="C89" t="s">
        <v>162</v>
      </c>
      <c r="D89" t="s">
        <v>176</v>
      </c>
      <c r="E89">
        <v>3</v>
      </c>
      <c r="F89">
        <v>3900</v>
      </c>
      <c r="G89" t="s">
        <v>193</v>
      </c>
      <c r="H89" t="s">
        <v>229</v>
      </c>
      <c r="I89" t="s">
        <v>238</v>
      </c>
      <c r="J89" t="s">
        <v>241</v>
      </c>
      <c r="K89">
        <v>11700</v>
      </c>
    </row>
    <row r="90" spans="1:11" x14ac:dyDescent="0.3">
      <c r="A90" t="s">
        <v>99</v>
      </c>
      <c r="B90" s="2">
        <v>46040</v>
      </c>
      <c r="C90" t="s">
        <v>170</v>
      </c>
      <c r="D90" t="s">
        <v>178</v>
      </c>
      <c r="E90">
        <v>3</v>
      </c>
      <c r="F90">
        <v>900</v>
      </c>
      <c r="G90" t="s">
        <v>202</v>
      </c>
      <c r="H90" t="s">
        <v>231</v>
      </c>
      <c r="I90" t="s">
        <v>237</v>
      </c>
      <c r="J90" t="s">
        <v>239</v>
      </c>
      <c r="K90">
        <v>2700</v>
      </c>
    </row>
    <row r="91" spans="1:11" x14ac:dyDescent="0.3">
      <c r="A91" t="s">
        <v>100</v>
      </c>
      <c r="B91" s="2">
        <v>46050</v>
      </c>
      <c r="C91" t="s">
        <v>167</v>
      </c>
      <c r="D91" t="s">
        <v>176</v>
      </c>
      <c r="E91">
        <v>4</v>
      </c>
      <c r="F91">
        <v>1400</v>
      </c>
      <c r="G91" t="s">
        <v>195</v>
      </c>
      <c r="H91" t="s">
        <v>233</v>
      </c>
      <c r="I91" t="s">
        <v>235</v>
      </c>
      <c r="J91" t="s">
        <v>239</v>
      </c>
      <c r="K91">
        <v>5600</v>
      </c>
    </row>
    <row r="92" spans="1:11" x14ac:dyDescent="0.3">
      <c r="A92" t="s">
        <v>101</v>
      </c>
      <c r="B92" s="2">
        <v>46180</v>
      </c>
      <c r="C92" t="s">
        <v>175</v>
      </c>
      <c r="D92" t="s">
        <v>177</v>
      </c>
      <c r="E92">
        <v>3</v>
      </c>
      <c r="F92">
        <v>1900</v>
      </c>
      <c r="G92" t="s">
        <v>217</v>
      </c>
      <c r="H92" t="s">
        <v>233</v>
      </c>
      <c r="I92" t="s">
        <v>236</v>
      </c>
      <c r="J92" t="s">
        <v>239</v>
      </c>
      <c r="K92">
        <v>5700</v>
      </c>
    </row>
    <row r="93" spans="1:11" x14ac:dyDescent="0.3">
      <c r="A93" t="s">
        <v>102</v>
      </c>
      <c r="B93" s="2">
        <v>46105</v>
      </c>
      <c r="C93" t="s">
        <v>167</v>
      </c>
      <c r="D93" t="s">
        <v>176</v>
      </c>
      <c r="E93">
        <v>3</v>
      </c>
      <c r="F93">
        <v>1300</v>
      </c>
      <c r="G93" t="s">
        <v>219</v>
      </c>
      <c r="H93" t="s">
        <v>230</v>
      </c>
      <c r="I93" t="s">
        <v>236</v>
      </c>
      <c r="J93" t="s">
        <v>239</v>
      </c>
      <c r="K93">
        <v>3900</v>
      </c>
    </row>
    <row r="94" spans="1:11" x14ac:dyDescent="0.3">
      <c r="A94" t="s">
        <v>103</v>
      </c>
      <c r="B94" s="2">
        <v>46168</v>
      </c>
      <c r="C94" t="s">
        <v>172</v>
      </c>
      <c r="D94" t="s">
        <v>176</v>
      </c>
      <c r="E94">
        <v>4</v>
      </c>
      <c r="F94">
        <v>700</v>
      </c>
      <c r="G94" t="s">
        <v>197</v>
      </c>
      <c r="H94" t="s">
        <v>232</v>
      </c>
      <c r="I94" t="s">
        <v>238</v>
      </c>
      <c r="J94" t="s">
        <v>239</v>
      </c>
      <c r="K94">
        <v>2800</v>
      </c>
    </row>
    <row r="95" spans="1:11" x14ac:dyDescent="0.3">
      <c r="A95" t="s">
        <v>104</v>
      </c>
      <c r="B95" s="2">
        <v>46069</v>
      </c>
      <c r="C95" t="s">
        <v>165</v>
      </c>
      <c r="D95" t="s">
        <v>178</v>
      </c>
      <c r="E95">
        <v>3</v>
      </c>
      <c r="F95">
        <v>1800</v>
      </c>
      <c r="G95" t="s">
        <v>218</v>
      </c>
      <c r="H95" t="s">
        <v>231</v>
      </c>
      <c r="I95" t="s">
        <v>238</v>
      </c>
      <c r="J95" t="s">
        <v>239</v>
      </c>
      <c r="K95">
        <v>5400</v>
      </c>
    </row>
    <row r="96" spans="1:11" x14ac:dyDescent="0.3">
      <c r="A96" t="s">
        <v>105</v>
      </c>
      <c r="B96" s="2">
        <v>46165</v>
      </c>
      <c r="C96" t="s">
        <v>169</v>
      </c>
      <c r="D96" t="s">
        <v>177</v>
      </c>
      <c r="E96">
        <v>3</v>
      </c>
      <c r="F96">
        <v>27800</v>
      </c>
      <c r="G96" t="s">
        <v>220</v>
      </c>
      <c r="H96" t="s">
        <v>227</v>
      </c>
      <c r="I96" t="s">
        <v>237</v>
      </c>
      <c r="J96" t="s">
        <v>239</v>
      </c>
      <c r="K96">
        <v>83400</v>
      </c>
    </row>
    <row r="97" spans="1:11" x14ac:dyDescent="0.3">
      <c r="A97" t="s">
        <v>106</v>
      </c>
      <c r="B97" s="2">
        <v>46148</v>
      </c>
      <c r="C97" t="s">
        <v>162</v>
      </c>
      <c r="D97" t="s">
        <v>176</v>
      </c>
      <c r="E97">
        <v>4</v>
      </c>
      <c r="F97">
        <v>3900</v>
      </c>
      <c r="G97" t="s">
        <v>194</v>
      </c>
      <c r="H97" t="s">
        <v>227</v>
      </c>
      <c r="I97" t="s">
        <v>236</v>
      </c>
      <c r="J97" t="s">
        <v>240</v>
      </c>
      <c r="K97">
        <v>15600</v>
      </c>
    </row>
    <row r="98" spans="1:11" x14ac:dyDescent="0.3">
      <c r="A98" t="s">
        <v>107</v>
      </c>
      <c r="B98" s="2">
        <v>46137</v>
      </c>
      <c r="C98" t="s">
        <v>162</v>
      </c>
      <c r="D98" t="s">
        <v>176</v>
      </c>
      <c r="E98">
        <v>4</v>
      </c>
      <c r="F98">
        <v>3600</v>
      </c>
      <c r="G98" t="s">
        <v>219</v>
      </c>
      <c r="H98" t="s">
        <v>230</v>
      </c>
      <c r="I98" t="s">
        <v>235</v>
      </c>
      <c r="J98" t="s">
        <v>239</v>
      </c>
      <c r="K98">
        <v>14400</v>
      </c>
    </row>
    <row r="99" spans="1:11" x14ac:dyDescent="0.3">
      <c r="A99" t="s">
        <v>108</v>
      </c>
      <c r="B99" s="2">
        <v>46101</v>
      </c>
      <c r="C99" t="s">
        <v>162</v>
      </c>
      <c r="D99" t="s">
        <v>176</v>
      </c>
      <c r="E99">
        <v>2</v>
      </c>
      <c r="F99">
        <v>4000</v>
      </c>
      <c r="G99" t="s">
        <v>182</v>
      </c>
      <c r="H99" t="s">
        <v>231</v>
      </c>
      <c r="I99" t="s">
        <v>236</v>
      </c>
      <c r="J99" t="s">
        <v>241</v>
      </c>
      <c r="K99">
        <v>8000</v>
      </c>
    </row>
    <row r="100" spans="1:11" x14ac:dyDescent="0.3">
      <c r="A100" t="s">
        <v>109</v>
      </c>
      <c r="B100" s="2">
        <v>46131</v>
      </c>
      <c r="C100" t="s">
        <v>173</v>
      </c>
      <c r="D100" t="s">
        <v>178</v>
      </c>
      <c r="E100">
        <v>3</v>
      </c>
      <c r="F100">
        <v>3400</v>
      </c>
      <c r="G100" t="s">
        <v>185</v>
      </c>
      <c r="H100" t="s">
        <v>231</v>
      </c>
      <c r="I100" t="s">
        <v>238</v>
      </c>
      <c r="J100" t="s">
        <v>240</v>
      </c>
      <c r="K100">
        <v>10200</v>
      </c>
    </row>
    <row r="101" spans="1:11" x14ac:dyDescent="0.3">
      <c r="A101" t="s">
        <v>110</v>
      </c>
      <c r="B101" s="2">
        <v>46101</v>
      </c>
      <c r="C101" t="s">
        <v>165</v>
      </c>
      <c r="D101" t="s">
        <v>178</v>
      </c>
      <c r="E101">
        <v>3</v>
      </c>
      <c r="F101">
        <v>1800</v>
      </c>
      <c r="G101" t="s">
        <v>186</v>
      </c>
      <c r="H101" t="s">
        <v>228</v>
      </c>
      <c r="I101" t="s">
        <v>235</v>
      </c>
      <c r="J101" t="s">
        <v>239</v>
      </c>
      <c r="K101">
        <v>5400</v>
      </c>
    </row>
    <row r="102" spans="1:11" x14ac:dyDescent="0.3">
      <c r="A102" t="s">
        <v>111</v>
      </c>
      <c r="B102" s="2">
        <v>46072</v>
      </c>
      <c r="C102" t="s">
        <v>164</v>
      </c>
      <c r="D102" t="s">
        <v>177</v>
      </c>
      <c r="E102">
        <v>2</v>
      </c>
      <c r="F102">
        <v>1100</v>
      </c>
      <c r="G102" t="s">
        <v>213</v>
      </c>
      <c r="H102" t="s">
        <v>233</v>
      </c>
      <c r="I102" t="s">
        <v>238</v>
      </c>
      <c r="J102" t="s">
        <v>240</v>
      </c>
      <c r="K102">
        <v>2200</v>
      </c>
    </row>
    <row r="103" spans="1:11" x14ac:dyDescent="0.3">
      <c r="A103" t="s">
        <v>112</v>
      </c>
      <c r="B103" s="2">
        <v>46048</v>
      </c>
      <c r="C103" t="s">
        <v>174</v>
      </c>
      <c r="D103" t="s">
        <v>178</v>
      </c>
      <c r="E103">
        <v>3</v>
      </c>
      <c r="F103">
        <v>2100</v>
      </c>
      <c r="G103" t="s">
        <v>206</v>
      </c>
      <c r="H103" t="s">
        <v>227</v>
      </c>
      <c r="I103" t="s">
        <v>238</v>
      </c>
      <c r="J103" t="s">
        <v>239</v>
      </c>
      <c r="K103">
        <v>6300</v>
      </c>
    </row>
    <row r="104" spans="1:11" x14ac:dyDescent="0.3">
      <c r="A104" t="s">
        <v>113</v>
      </c>
      <c r="B104" s="2">
        <v>46159</v>
      </c>
      <c r="C104" t="s">
        <v>169</v>
      </c>
      <c r="D104" t="s">
        <v>177</v>
      </c>
      <c r="E104">
        <v>1</v>
      </c>
      <c r="F104">
        <v>27900</v>
      </c>
      <c r="G104" t="s">
        <v>179</v>
      </c>
      <c r="H104" t="s">
        <v>229</v>
      </c>
      <c r="I104" t="s">
        <v>237</v>
      </c>
      <c r="J104" t="s">
        <v>241</v>
      </c>
      <c r="K104">
        <v>27900</v>
      </c>
    </row>
    <row r="105" spans="1:11" x14ac:dyDescent="0.3">
      <c r="A105" t="s">
        <v>114</v>
      </c>
      <c r="B105" s="2">
        <v>46186</v>
      </c>
      <c r="C105" t="s">
        <v>169</v>
      </c>
      <c r="D105" t="s">
        <v>177</v>
      </c>
      <c r="E105">
        <v>2</v>
      </c>
      <c r="F105">
        <v>28000</v>
      </c>
      <c r="G105" t="s">
        <v>201</v>
      </c>
      <c r="H105" t="s">
        <v>229</v>
      </c>
      <c r="I105" t="s">
        <v>238</v>
      </c>
      <c r="J105" t="s">
        <v>239</v>
      </c>
      <c r="K105">
        <v>56000</v>
      </c>
    </row>
    <row r="106" spans="1:11" x14ac:dyDescent="0.3">
      <c r="A106" t="s">
        <v>115</v>
      </c>
      <c r="B106" s="2">
        <v>46110</v>
      </c>
      <c r="C106" t="s">
        <v>165</v>
      </c>
      <c r="D106" t="s">
        <v>178</v>
      </c>
      <c r="E106">
        <v>4</v>
      </c>
      <c r="F106">
        <v>1700</v>
      </c>
      <c r="G106" t="s">
        <v>221</v>
      </c>
      <c r="H106" t="s">
        <v>230</v>
      </c>
      <c r="I106" t="s">
        <v>236</v>
      </c>
      <c r="J106" t="s">
        <v>239</v>
      </c>
      <c r="K106">
        <v>6800</v>
      </c>
    </row>
    <row r="107" spans="1:11" x14ac:dyDescent="0.3">
      <c r="A107" t="s">
        <v>116</v>
      </c>
      <c r="B107" s="2">
        <v>46125</v>
      </c>
      <c r="C107" t="s">
        <v>167</v>
      </c>
      <c r="D107" t="s">
        <v>176</v>
      </c>
      <c r="E107">
        <v>1</v>
      </c>
      <c r="F107">
        <v>1400</v>
      </c>
      <c r="G107" t="s">
        <v>198</v>
      </c>
      <c r="H107" t="s">
        <v>229</v>
      </c>
      <c r="I107" t="s">
        <v>235</v>
      </c>
      <c r="J107" t="s">
        <v>239</v>
      </c>
      <c r="K107">
        <v>1400</v>
      </c>
    </row>
    <row r="108" spans="1:11" x14ac:dyDescent="0.3">
      <c r="A108" t="s">
        <v>117</v>
      </c>
      <c r="B108" s="2">
        <v>46044</v>
      </c>
      <c r="C108" t="s">
        <v>172</v>
      </c>
      <c r="D108" t="s">
        <v>176</v>
      </c>
      <c r="E108">
        <v>3</v>
      </c>
      <c r="F108">
        <v>500</v>
      </c>
      <c r="G108" t="s">
        <v>193</v>
      </c>
      <c r="H108" t="s">
        <v>232</v>
      </c>
      <c r="I108" t="s">
        <v>235</v>
      </c>
      <c r="J108" t="s">
        <v>241</v>
      </c>
      <c r="K108">
        <v>1500</v>
      </c>
    </row>
    <row r="109" spans="1:11" x14ac:dyDescent="0.3">
      <c r="A109" t="s">
        <v>118</v>
      </c>
      <c r="B109" s="2">
        <v>46136</v>
      </c>
      <c r="C109" t="s">
        <v>170</v>
      </c>
      <c r="D109" t="s">
        <v>178</v>
      </c>
      <c r="E109">
        <v>4</v>
      </c>
      <c r="F109">
        <v>800</v>
      </c>
      <c r="G109" t="s">
        <v>182</v>
      </c>
      <c r="H109" t="s">
        <v>232</v>
      </c>
      <c r="I109" t="s">
        <v>238</v>
      </c>
      <c r="J109" t="s">
        <v>241</v>
      </c>
      <c r="K109">
        <v>3200</v>
      </c>
    </row>
    <row r="110" spans="1:11" x14ac:dyDescent="0.3">
      <c r="A110" t="s">
        <v>119</v>
      </c>
      <c r="B110" s="2">
        <v>46179</v>
      </c>
      <c r="C110" t="s">
        <v>174</v>
      </c>
      <c r="D110" t="s">
        <v>178</v>
      </c>
      <c r="E110">
        <v>1</v>
      </c>
      <c r="F110">
        <v>2400</v>
      </c>
      <c r="G110" t="s">
        <v>201</v>
      </c>
      <c r="H110" t="s">
        <v>227</v>
      </c>
      <c r="I110" t="s">
        <v>235</v>
      </c>
      <c r="J110" t="s">
        <v>239</v>
      </c>
      <c r="K110">
        <v>2400</v>
      </c>
    </row>
    <row r="111" spans="1:11" x14ac:dyDescent="0.3">
      <c r="A111" t="s">
        <v>120</v>
      </c>
      <c r="B111" s="2">
        <v>46063</v>
      </c>
      <c r="C111" t="s">
        <v>161</v>
      </c>
      <c r="D111" t="s">
        <v>176</v>
      </c>
      <c r="E111">
        <v>1</v>
      </c>
      <c r="F111">
        <v>4400</v>
      </c>
      <c r="G111" t="s">
        <v>222</v>
      </c>
      <c r="H111" t="s">
        <v>228</v>
      </c>
      <c r="I111" t="s">
        <v>235</v>
      </c>
      <c r="J111" t="s">
        <v>239</v>
      </c>
      <c r="K111">
        <v>4400</v>
      </c>
    </row>
    <row r="112" spans="1:11" x14ac:dyDescent="0.3">
      <c r="A112" t="s">
        <v>121</v>
      </c>
      <c r="B112" s="2">
        <v>46199</v>
      </c>
      <c r="C112" t="s">
        <v>170</v>
      </c>
      <c r="D112" t="s">
        <v>178</v>
      </c>
      <c r="E112">
        <v>4</v>
      </c>
      <c r="F112">
        <v>900</v>
      </c>
      <c r="G112" t="s">
        <v>215</v>
      </c>
      <c r="H112" t="s">
        <v>230</v>
      </c>
      <c r="I112" t="s">
        <v>237</v>
      </c>
      <c r="J112" t="s">
        <v>239</v>
      </c>
      <c r="K112">
        <v>3600</v>
      </c>
    </row>
    <row r="113" spans="1:11" x14ac:dyDescent="0.3">
      <c r="A113" t="s">
        <v>122</v>
      </c>
      <c r="B113" s="2">
        <v>46202</v>
      </c>
      <c r="C113" t="s">
        <v>169</v>
      </c>
      <c r="D113" t="s">
        <v>177</v>
      </c>
      <c r="E113">
        <v>3</v>
      </c>
      <c r="F113">
        <v>28000</v>
      </c>
      <c r="G113" t="s">
        <v>198</v>
      </c>
      <c r="H113" t="s">
        <v>227</v>
      </c>
      <c r="I113" t="s">
        <v>238</v>
      </c>
      <c r="J113" t="s">
        <v>240</v>
      </c>
      <c r="K113">
        <v>84000</v>
      </c>
    </row>
    <row r="114" spans="1:11" x14ac:dyDescent="0.3">
      <c r="A114" t="s">
        <v>123</v>
      </c>
      <c r="B114" s="2">
        <v>46131</v>
      </c>
      <c r="C114" t="s">
        <v>174</v>
      </c>
      <c r="D114" t="s">
        <v>178</v>
      </c>
      <c r="E114">
        <v>2</v>
      </c>
      <c r="F114">
        <v>2000</v>
      </c>
      <c r="G114" t="s">
        <v>180</v>
      </c>
      <c r="H114" t="s">
        <v>227</v>
      </c>
      <c r="I114" t="s">
        <v>235</v>
      </c>
      <c r="J114" t="s">
        <v>239</v>
      </c>
      <c r="K114">
        <v>4000</v>
      </c>
    </row>
    <row r="115" spans="1:11" x14ac:dyDescent="0.3">
      <c r="A115" t="s">
        <v>124</v>
      </c>
      <c r="B115" s="2">
        <v>46041</v>
      </c>
      <c r="C115" t="s">
        <v>167</v>
      </c>
      <c r="D115" t="s">
        <v>176</v>
      </c>
      <c r="E115">
        <v>2</v>
      </c>
      <c r="F115">
        <v>1200</v>
      </c>
      <c r="G115" t="s">
        <v>192</v>
      </c>
      <c r="H115" t="s">
        <v>230</v>
      </c>
      <c r="I115" t="s">
        <v>238</v>
      </c>
      <c r="J115" t="s">
        <v>239</v>
      </c>
      <c r="K115">
        <v>2400</v>
      </c>
    </row>
    <row r="116" spans="1:11" x14ac:dyDescent="0.3">
      <c r="A116" t="s">
        <v>125</v>
      </c>
      <c r="B116" s="2">
        <v>46199</v>
      </c>
      <c r="C116" t="s">
        <v>164</v>
      </c>
      <c r="D116" t="s">
        <v>177</v>
      </c>
      <c r="E116">
        <v>4</v>
      </c>
      <c r="F116">
        <v>1200</v>
      </c>
      <c r="G116" t="s">
        <v>188</v>
      </c>
      <c r="H116" t="s">
        <v>232</v>
      </c>
      <c r="I116" t="s">
        <v>238</v>
      </c>
      <c r="J116" t="s">
        <v>241</v>
      </c>
      <c r="K116">
        <v>4800</v>
      </c>
    </row>
    <row r="117" spans="1:11" x14ac:dyDescent="0.3">
      <c r="A117" t="s">
        <v>126</v>
      </c>
      <c r="B117" s="2">
        <v>46135</v>
      </c>
      <c r="C117" t="s">
        <v>173</v>
      </c>
      <c r="D117" t="s">
        <v>178</v>
      </c>
      <c r="E117">
        <v>4</v>
      </c>
      <c r="F117">
        <v>3000</v>
      </c>
      <c r="G117" t="s">
        <v>214</v>
      </c>
      <c r="H117" t="s">
        <v>229</v>
      </c>
      <c r="I117" t="s">
        <v>236</v>
      </c>
      <c r="J117" t="s">
        <v>240</v>
      </c>
      <c r="K117">
        <v>12000</v>
      </c>
    </row>
    <row r="118" spans="1:11" x14ac:dyDescent="0.3">
      <c r="A118" t="s">
        <v>127</v>
      </c>
      <c r="B118" s="2">
        <v>46029</v>
      </c>
      <c r="C118" t="s">
        <v>168</v>
      </c>
      <c r="D118" t="s">
        <v>178</v>
      </c>
      <c r="E118">
        <v>3</v>
      </c>
      <c r="F118">
        <v>1300</v>
      </c>
      <c r="G118" t="s">
        <v>186</v>
      </c>
      <c r="H118" t="s">
        <v>229</v>
      </c>
      <c r="I118" t="s">
        <v>238</v>
      </c>
      <c r="J118" t="s">
        <v>241</v>
      </c>
      <c r="K118">
        <v>3900</v>
      </c>
    </row>
    <row r="119" spans="1:11" x14ac:dyDescent="0.3">
      <c r="A119" t="s">
        <v>128</v>
      </c>
      <c r="B119" s="2">
        <v>46143</v>
      </c>
      <c r="C119" t="s">
        <v>163</v>
      </c>
      <c r="D119" t="s">
        <v>177</v>
      </c>
      <c r="E119">
        <v>2</v>
      </c>
      <c r="F119">
        <v>45100</v>
      </c>
      <c r="G119" t="s">
        <v>202</v>
      </c>
      <c r="H119" t="s">
        <v>233</v>
      </c>
      <c r="I119" t="s">
        <v>238</v>
      </c>
      <c r="J119" t="s">
        <v>239</v>
      </c>
      <c r="K119">
        <v>90200</v>
      </c>
    </row>
    <row r="120" spans="1:11" x14ac:dyDescent="0.3">
      <c r="A120" t="s">
        <v>129</v>
      </c>
      <c r="B120" s="2">
        <v>46185</v>
      </c>
      <c r="C120" t="s">
        <v>174</v>
      </c>
      <c r="D120" t="s">
        <v>178</v>
      </c>
      <c r="E120">
        <v>4</v>
      </c>
      <c r="F120">
        <v>2200</v>
      </c>
      <c r="G120" t="s">
        <v>219</v>
      </c>
      <c r="H120" t="s">
        <v>233</v>
      </c>
      <c r="I120" t="s">
        <v>238</v>
      </c>
      <c r="J120" t="s">
        <v>239</v>
      </c>
      <c r="K120">
        <v>8800</v>
      </c>
    </row>
    <row r="121" spans="1:11" x14ac:dyDescent="0.3">
      <c r="A121" t="s">
        <v>130</v>
      </c>
      <c r="B121" s="2">
        <v>46194</v>
      </c>
      <c r="C121" t="s">
        <v>168</v>
      </c>
      <c r="D121" t="s">
        <v>178</v>
      </c>
      <c r="E121">
        <v>3</v>
      </c>
      <c r="F121">
        <v>1300</v>
      </c>
      <c r="G121" t="s">
        <v>192</v>
      </c>
      <c r="H121" t="s">
        <v>231</v>
      </c>
      <c r="I121" t="s">
        <v>236</v>
      </c>
      <c r="J121" t="s">
        <v>240</v>
      </c>
      <c r="K121">
        <v>3900</v>
      </c>
    </row>
    <row r="122" spans="1:11" x14ac:dyDescent="0.3">
      <c r="A122" t="s">
        <v>131</v>
      </c>
      <c r="B122" s="2">
        <v>46192</v>
      </c>
      <c r="C122" t="s">
        <v>165</v>
      </c>
      <c r="D122" t="s">
        <v>178</v>
      </c>
      <c r="E122">
        <v>3</v>
      </c>
      <c r="F122">
        <v>1800</v>
      </c>
      <c r="G122" t="s">
        <v>194</v>
      </c>
      <c r="H122" t="s">
        <v>229</v>
      </c>
      <c r="I122" t="s">
        <v>236</v>
      </c>
      <c r="J122" t="s">
        <v>239</v>
      </c>
      <c r="K122">
        <v>5400</v>
      </c>
    </row>
    <row r="123" spans="1:11" x14ac:dyDescent="0.3">
      <c r="A123" t="s">
        <v>132</v>
      </c>
      <c r="B123" s="2">
        <v>46105</v>
      </c>
      <c r="C123" t="s">
        <v>168</v>
      </c>
      <c r="D123" t="s">
        <v>178</v>
      </c>
      <c r="E123">
        <v>3</v>
      </c>
      <c r="F123">
        <v>1300</v>
      </c>
      <c r="G123" t="s">
        <v>217</v>
      </c>
      <c r="H123" t="s">
        <v>232</v>
      </c>
      <c r="I123" t="s">
        <v>237</v>
      </c>
      <c r="J123" t="s">
        <v>240</v>
      </c>
      <c r="K123">
        <v>3900</v>
      </c>
    </row>
    <row r="124" spans="1:11" x14ac:dyDescent="0.3">
      <c r="A124" t="s">
        <v>133</v>
      </c>
      <c r="B124" s="2">
        <v>46128</v>
      </c>
      <c r="C124" t="s">
        <v>167</v>
      </c>
      <c r="D124" t="s">
        <v>176</v>
      </c>
      <c r="E124">
        <v>4</v>
      </c>
      <c r="F124">
        <v>1200</v>
      </c>
      <c r="G124" t="s">
        <v>203</v>
      </c>
      <c r="H124" t="s">
        <v>231</v>
      </c>
      <c r="I124" t="s">
        <v>236</v>
      </c>
      <c r="J124" t="s">
        <v>240</v>
      </c>
      <c r="K124">
        <v>4800</v>
      </c>
    </row>
    <row r="125" spans="1:11" x14ac:dyDescent="0.3">
      <c r="A125" t="s">
        <v>134</v>
      </c>
      <c r="B125" s="2">
        <v>46075</v>
      </c>
      <c r="C125" t="s">
        <v>165</v>
      </c>
      <c r="D125" t="s">
        <v>178</v>
      </c>
      <c r="E125">
        <v>1</v>
      </c>
      <c r="F125">
        <v>1800</v>
      </c>
      <c r="G125" t="s">
        <v>185</v>
      </c>
      <c r="H125" t="s">
        <v>234</v>
      </c>
      <c r="I125" t="s">
        <v>238</v>
      </c>
      <c r="J125" t="s">
        <v>239</v>
      </c>
      <c r="K125">
        <v>1800</v>
      </c>
    </row>
    <row r="126" spans="1:11" x14ac:dyDescent="0.3">
      <c r="A126" t="s">
        <v>135</v>
      </c>
      <c r="B126" s="2">
        <v>46054</v>
      </c>
      <c r="C126" t="s">
        <v>171</v>
      </c>
      <c r="D126" t="s">
        <v>176</v>
      </c>
      <c r="E126">
        <v>4</v>
      </c>
      <c r="F126">
        <v>1000</v>
      </c>
      <c r="G126" t="s">
        <v>223</v>
      </c>
      <c r="H126" t="s">
        <v>227</v>
      </c>
      <c r="I126" t="s">
        <v>235</v>
      </c>
      <c r="J126" t="s">
        <v>239</v>
      </c>
      <c r="K126">
        <v>4000</v>
      </c>
    </row>
    <row r="127" spans="1:11" x14ac:dyDescent="0.3">
      <c r="A127" t="s">
        <v>136</v>
      </c>
      <c r="B127" s="2">
        <v>46164</v>
      </c>
      <c r="C127" t="s">
        <v>173</v>
      </c>
      <c r="D127" t="s">
        <v>178</v>
      </c>
      <c r="E127">
        <v>1</v>
      </c>
      <c r="F127">
        <v>3200</v>
      </c>
      <c r="G127" t="s">
        <v>219</v>
      </c>
      <c r="H127" t="s">
        <v>227</v>
      </c>
      <c r="I127" t="s">
        <v>237</v>
      </c>
      <c r="J127" t="s">
        <v>239</v>
      </c>
      <c r="K127">
        <v>3200</v>
      </c>
    </row>
    <row r="128" spans="1:11" x14ac:dyDescent="0.3">
      <c r="A128" t="s">
        <v>137</v>
      </c>
      <c r="B128" s="2">
        <v>46150</v>
      </c>
      <c r="C128" t="s">
        <v>164</v>
      </c>
      <c r="D128" t="s">
        <v>177</v>
      </c>
      <c r="E128">
        <v>2</v>
      </c>
      <c r="F128">
        <v>1400</v>
      </c>
      <c r="G128" t="s">
        <v>206</v>
      </c>
      <c r="H128" t="s">
        <v>230</v>
      </c>
      <c r="I128" t="s">
        <v>236</v>
      </c>
      <c r="J128" t="s">
        <v>239</v>
      </c>
      <c r="K128">
        <v>2800</v>
      </c>
    </row>
    <row r="129" spans="1:11" x14ac:dyDescent="0.3">
      <c r="A129" t="s">
        <v>138</v>
      </c>
      <c r="B129" s="2">
        <v>46139</v>
      </c>
      <c r="C129" t="s">
        <v>165</v>
      </c>
      <c r="D129" t="s">
        <v>178</v>
      </c>
      <c r="E129">
        <v>2</v>
      </c>
      <c r="F129">
        <v>1900</v>
      </c>
      <c r="G129" t="s">
        <v>183</v>
      </c>
      <c r="H129" t="s">
        <v>232</v>
      </c>
      <c r="I129" t="s">
        <v>235</v>
      </c>
      <c r="J129" t="s">
        <v>241</v>
      </c>
      <c r="K129">
        <v>3800</v>
      </c>
    </row>
    <row r="130" spans="1:11" x14ac:dyDescent="0.3">
      <c r="A130" t="s">
        <v>139</v>
      </c>
      <c r="B130" s="2">
        <v>46040</v>
      </c>
      <c r="C130" t="s">
        <v>173</v>
      </c>
      <c r="D130" t="s">
        <v>178</v>
      </c>
      <c r="E130">
        <v>2</v>
      </c>
      <c r="F130">
        <v>3200</v>
      </c>
      <c r="G130" t="s">
        <v>217</v>
      </c>
      <c r="H130" t="s">
        <v>232</v>
      </c>
      <c r="I130" t="s">
        <v>238</v>
      </c>
      <c r="J130" t="s">
        <v>241</v>
      </c>
      <c r="K130">
        <v>6400</v>
      </c>
    </row>
    <row r="131" spans="1:11" x14ac:dyDescent="0.3">
      <c r="A131" t="s">
        <v>140</v>
      </c>
      <c r="B131" s="2">
        <v>46095</v>
      </c>
      <c r="C131" t="s">
        <v>169</v>
      </c>
      <c r="D131" t="s">
        <v>177</v>
      </c>
      <c r="E131">
        <v>1</v>
      </c>
      <c r="F131">
        <v>28200</v>
      </c>
      <c r="G131" t="s">
        <v>209</v>
      </c>
      <c r="H131" t="s">
        <v>233</v>
      </c>
      <c r="I131" t="s">
        <v>235</v>
      </c>
      <c r="J131" t="s">
        <v>239</v>
      </c>
      <c r="K131">
        <v>28200</v>
      </c>
    </row>
    <row r="132" spans="1:11" x14ac:dyDescent="0.3">
      <c r="A132" t="s">
        <v>141</v>
      </c>
      <c r="B132" s="2">
        <v>46111</v>
      </c>
      <c r="C132" t="s">
        <v>173</v>
      </c>
      <c r="D132" t="s">
        <v>178</v>
      </c>
      <c r="E132">
        <v>4</v>
      </c>
      <c r="F132">
        <v>3200</v>
      </c>
      <c r="G132" t="s">
        <v>185</v>
      </c>
      <c r="H132" t="s">
        <v>232</v>
      </c>
      <c r="I132" t="s">
        <v>236</v>
      </c>
      <c r="J132" t="s">
        <v>239</v>
      </c>
      <c r="K132">
        <v>12800</v>
      </c>
    </row>
    <row r="133" spans="1:11" x14ac:dyDescent="0.3">
      <c r="A133" t="s">
        <v>142</v>
      </c>
      <c r="B133" s="2">
        <v>46201</v>
      </c>
      <c r="C133" t="s">
        <v>167</v>
      </c>
      <c r="D133" t="s">
        <v>176</v>
      </c>
      <c r="E133">
        <v>2</v>
      </c>
      <c r="F133">
        <v>1300</v>
      </c>
      <c r="G133" t="s">
        <v>224</v>
      </c>
      <c r="H133" t="s">
        <v>232</v>
      </c>
      <c r="I133" t="s">
        <v>235</v>
      </c>
      <c r="J133" t="s">
        <v>239</v>
      </c>
      <c r="K133">
        <v>2600</v>
      </c>
    </row>
    <row r="134" spans="1:11" x14ac:dyDescent="0.3">
      <c r="A134" t="s">
        <v>143</v>
      </c>
      <c r="B134" s="2">
        <v>46144</v>
      </c>
      <c r="C134" t="s">
        <v>163</v>
      </c>
      <c r="D134" t="s">
        <v>177</v>
      </c>
      <c r="E134">
        <v>3</v>
      </c>
      <c r="F134">
        <v>45200</v>
      </c>
      <c r="G134" t="s">
        <v>189</v>
      </c>
      <c r="H134" t="s">
        <v>232</v>
      </c>
      <c r="I134" t="s">
        <v>235</v>
      </c>
      <c r="J134" t="s">
        <v>239</v>
      </c>
      <c r="K134">
        <v>135600</v>
      </c>
    </row>
    <row r="135" spans="1:11" x14ac:dyDescent="0.3">
      <c r="A135" t="s">
        <v>144</v>
      </c>
      <c r="B135" s="2">
        <v>46151</v>
      </c>
      <c r="C135" t="s">
        <v>163</v>
      </c>
      <c r="D135" t="s">
        <v>177</v>
      </c>
      <c r="E135">
        <v>2</v>
      </c>
      <c r="F135">
        <v>45100</v>
      </c>
      <c r="G135" t="s">
        <v>225</v>
      </c>
      <c r="H135" t="s">
        <v>228</v>
      </c>
      <c r="I135" t="s">
        <v>236</v>
      </c>
      <c r="J135" t="s">
        <v>239</v>
      </c>
      <c r="K135">
        <v>90200</v>
      </c>
    </row>
    <row r="136" spans="1:11" x14ac:dyDescent="0.3">
      <c r="A136" t="s">
        <v>145</v>
      </c>
      <c r="B136" s="2">
        <v>46026</v>
      </c>
      <c r="C136" t="s">
        <v>173</v>
      </c>
      <c r="D136" t="s">
        <v>178</v>
      </c>
      <c r="E136">
        <v>4</v>
      </c>
      <c r="F136">
        <v>3400</v>
      </c>
      <c r="G136" t="s">
        <v>183</v>
      </c>
      <c r="H136" t="s">
        <v>232</v>
      </c>
      <c r="I136" t="s">
        <v>235</v>
      </c>
      <c r="J136" t="s">
        <v>239</v>
      </c>
      <c r="K136">
        <v>13600</v>
      </c>
    </row>
    <row r="137" spans="1:11" x14ac:dyDescent="0.3">
      <c r="A137" t="s">
        <v>146</v>
      </c>
      <c r="B137" s="2">
        <v>46109</v>
      </c>
      <c r="C137" t="s">
        <v>165</v>
      </c>
      <c r="D137" t="s">
        <v>178</v>
      </c>
      <c r="E137">
        <v>3</v>
      </c>
      <c r="F137">
        <v>1900</v>
      </c>
      <c r="G137" t="s">
        <v>188</v>
      </c>
      <c r="H137" t="s">
        <v>232</v>
      </c>
      <c r="I137" t="s">
        <v>237</v>
      </c>
      <c r="J137" t="s">
        <v>239</v>
      </c>
      <c r="K137">
        <v>5700</v>
      </c>
    </row>
    <row r="138" spans="1:11" x14ac:dyDescent="0.3">
      <c r="A138" t="s">
        <v>147</v>
      </c>
      <c r="B138" s="2">
        <v>46104</v>
      </c>
      <c r="C138" t="s">
        <v>167</v>
      </c>
      <c r="D138" t="s">
        <v>176</v>
      </c>
      <c r="E138">
        <v>4</v>
      </c>
      <c r="F138">
        <v>1600</v>
      </c>
      <c r="G138" t="s">
        <v>226</v>
      </c>
      <c r="H138" t="s">
        <v>233</v>
      </c>
      <c r="I138" t="s">
        <v>237</v>
      </c>
      <c r="J138" t="s">
        <v>241</v>
      </c>
      <c r="K138">
        <v>6400</v>
      </c>
    </row>
    <row r="139" spans="1:11" x14ac:dyDescent="0.3">
      <c r="A139" t="s">
        <v>148</v>
      </c>
      <c r="B139" s="2">
        <v>46184</v>
      </c>
      <c r="C139" t="s">
        <v>164</v>
      </c>
      <c r="D139" t="s">
        <v>177</v>
      </c>
      <c r="E139">
        <v>2</v>
      </c>
      <c r="F139">
        <v>1400</v>
      </c>
      <c r="G139" t="s">
        <v>206</v>
      </c>
      <c r="H139" t="s">
        <v>227</v>
      </c>
      <c r="I139" t="s">
        <v>237</v>
      </c>
      <c r="J139" t="s">
        <v>239</v>
      </c>
      <c r="K139">
        <v>2800</v>
      </c>
    </row>
    <row r="140" spans="1:11" x14ac:dyDescent="0.3">
      <c r="A140" t="s">
        <v>149</v>
      </c>
      <c r="B140" s="2">
        <v>46136</v>
      </c>
      <c r="C140" t="s">
        <v>164</v>
      </c>
      <c r="D140" t="s">
        <v>177</v>
      </c>
      <c r="E140">
        <v>1</v>
      </c>
      <c r="F140">
        <v>1100</v>
      </c>
      <c r="G140" t="s">
        <v>188</v>
      </c>
      <c r="H140" t="s">
        <v>230</v>
      </c>
      <c r="I140" t="s">
        <v>237</v>
      </c>
      <c r="J140" t="s">
        <v>239</v>
      </c>
      <c r="K140">
        <v>1100</v>
      </c>
    </row>
    <row r="141" spans="1:11" x14ac:dyDescent="0.3">
      <c r="A141" t="s">
        <v>150</v>
      </c>
      <c r="B141" s="2">
        <v>46098</v>
      </c>
      <c r="C141" t="s">
        <v>168</v>
      </c>
      <c r="D141" t="s">
        <v>178</v>
      </c>
      <c r="E141">
        <v>1</v>
      </c>
      <c r="F141">
        <v>1500</v>
      </c>
      <c r="G141" t="s">
        <v>195</v>
      </c>
      <c r="H141" t="s">
        <v>232</v>
      </c>
      <c r="I141" t="s">
        <v>235</v>
      </c>
      <c r="J141" t="s">
        <v>239</v>
      </c>
      <c r="K141">
        <v>1500</v>
      </c>
    </row>
    <row r="142" spans="1:11" x14ac:dyDescent="0.3">
      <c r="A142" t="s">
        <v>151</v>
      </c>
      <c r="B142" s="2">
        <v>46167</v>
      </c>
      <c r="C142" t="s">
        <v>173</v>
      </c>
      <c r="D142" t="s">
        <v>178</v>
      </c>
      <c r="E142">
        <v>4</v>
      </c>
      <c r="F142">
        <v>3400</v>
      </c>
      <c r="G142" t="s">
        <v>222</v>
      </c>
      <c r="H142" t="s">
        <v>234</v>
      </c>
      <c r="I142" t="s">
        <v>235</v>
      </c>
      <c r="J142" t="s">
        <v>239</v>
      </c>
      <c r="K142">
        <v>13600</v>
      </c>
    </row>
    <row r="143" spans="1:11" x14ac:dyDescent="0.3">
      <c r="A143" t="s">
        <v>152</v>
      </c>
      <c r="B143" s="2">
        <v>46181</v>
      </c>
      <c r="C143" t="s">
        <v>174</v>
      </c>
      <c r="D143" t="s">
        <v>178</v>
      </c>
      <c r="E143">
        <v>4</v>
      </c>
      <c r="F143">
        <v>2400</v>
      </c>
      <c r="G143" t="s">
        <v>204</v>
      </c>
      <c r="H143" t="s">
        <v>233</v>
      </c>
      <c r="I143" t="s">
        <v>235</v>
      </c>
      <c r="J143" t="s">
        <v>239</v>
      </c>
      <c r="K143">
        <v>9600</v>
      </c>
    </row>
    <row r="144" spans="1:11" x14ac:dyDescent="0.3">
      <c r="A144" t="s">
        <v>153</v>
      </c>
      <c r="B144" s="2">
        <v>46140</v>
      </c>
      <c r="C144" t="s">
        <v>165</v>
      </c>
      <c r="D144" t="s">
        <v>178</v>
      </c>
      <c r="E144">
        <v>3</v>
      </c>
      <c r="F144">
        <v>1800</v>
      </c>
      <c r="G144" t="s">
        <v>197</v>
      </c>
      <c r="H144" t="s">
        <v>229</v>
      </c>
      <c r="I144" t="s">
        <v>236</v>
      </c>
      <c r="J144" t="s">
        <v>239</v>
      </c>
      <c r="K144">
        <v>5400</v>
      </c>
    </row>
    <row r="145" spans="1:11" x14ac:dyDescent="0.3">
      <c r="A145" t="s">
        <v>154</v>
      </c>
      <c r="B145" s="2">
        <v>46041</v>
      </c>
      <c r="C145" t="s">
        <v>161</v>
      </c>
      <c r="D145" t="s">
        <v>176</v>
      </c>
      <c r="E145">
        <v>2</v>
      </c>
      <c r="F145">
        <v>4500</v>
      </c>
      <c r="G145" t="s">
        <v>184</v>
      </c>
      <c r="H145" t="s">
        <v>230</v>
      </c>
      <c r="I145" t="s">
        <v>236</v>
      </c>
      <c r="J145" t="s">
        <v>240</v>
      </c>
      <c r="K145">
        <v>9000</v>
      </c>
    </row>
    <row r="146" spans="1:11" x14ac:dyDescent="0.3">
      <c r="A146" t="s">
        <v>155</v>
      </c>
      <c r="B146" s="2">
        <v>46100</v>
      </c>
      <c r="C146" t="s">
        <v>169</v>
      </c>
      <c r="D146" t="s">
        <v>177</v>
      </c>
      <c r="E146">
        <v>4</v>
      </c>
      <c r="F146">
        <v>27900</v>
      </c>
      <c r="G146" t="s">
        <v>189</v>
      </c>
      <c r="H146" t="s">
        <v>233</v>
      </c>
      <c r="I146" t="s">
        <v>237</v>
      </c>
      <c r="J146" t="s">
        <v>239</v>
      </c>
      <c r="K146">
        <v>111600</v>
      </c>
    </row>
    <row r="147" spans="1:11" x14ac:dyDescent="0.3">
      <c r="A147" t="s">
        <v>156</v>
      </c>
      <c r="B147" s="2">
        <v>46170</v>
      </c>
      <c r="C147" t="s">
        <v>170</v>
      </c>
      <c r="D147" t="s">
        <v>178</v>
      </c>
      <c r="E147">
        <v>3</v>
      </c>
      <c r="F147">
        <v>800</v>
      </c>
      <c r="G147" t="s">
        <v>188</v>
      </c>
      <c r="H147" t="s">
        <v>230</v>
      </c>
      <c r="I147" t="s">
        <v>237</v>
      </c>
      <c r="J147" t="s">
        <v>240</v>
      </c>
      <c r="K147">
        <v>2400</v>
      </c>
    </row>
    <row r="148" spans="1:11" x14ac:dyDescent="0.3">
      <c r="A148" t="s">
        <v>157</v>
      </c>
      <c r="B148" s="2">
        <v>46025</v>
      </c>
      <c r="C148" t="s">
        <v>170</v>
      </c>
      <c r="D148" t="s">
        <v>178</v>
      </c>
      <c r="E148">
        <v>3</v>
      </c>
      <c r="F148">
        <v>900</v>
      </c>
      <c r="G148" t="s">
        <v>210</v>
      </c>
      <c r="H148" t="s">
        <v>229</v>
      </c>
      <c r="I148" t="s">
        <v>236</v>
      </c>
      <c r="J148" t="s">
        <v>239</v>
      </c>
      <c r="K148">
        <v>2700</v>
      </c>
    </row>
    <row r="149" spans="1:11" x14ac:dyDescent="0.3">
      <c r="A149" t="s">
        <v>158</v>
      </c>
      <c r="B149" s="2">
        <v>46178</v>
      </c>
      <c r="C149" t="s">
        <v>172</v>
      </c>
      <c r="D149" t="s">
        <v>176</v>
      </c>
      <c r="E149">
        <v>2</v>
      </c>
      <c r="F149">
        <v>600</v>
      </c>
      <c r="G149" t="s">
        <v>186</v>
      </c>
      <c r="H149" t="s">
        <v>227</v>
      </c>
      <c r="I149" t="s">
        <v>238</v>
      </c>
      <c r="J149" t="s">
        <v>240</v>
      </c>
      <c r="K149">
        <v>1200</v>
      </c>
    </row>
    <row r="150" spans="1:11" x14ac:dyDescent="0.3">
      <c r="A150" t="s">
        <v>159</v>
      </c>
      <c r="B150" s="2">
        <v>46183</v>
      </c>
      <c r="C150" t="s">
        <v>172</v>
      </c>
      <c r="D150" t="s">
        <v>176</v>
      </c>
      <c r="E150">
        <v>2</v>
      </c>
      <c r="F150">
        <v>400</v>
      </c>
      <c r="G150" t="s">
        <v>223</v>
      </c>
      <c r="H150" t="s">
        <v>229</v>
      </c>
      <c r="I150" t="s">
        <v>238</v>
      </c>
      <c r="J150" t="s">
        <v>239</v>
      </c>
      <c r="K150">
        <v>800</v>
      </c>
    </row>
    <row r="151" spans="1:11" x14ac:dyDescent="0.3">
      <c r="A151" t="s">
        <v>160</v>
      </c>
      <c r="B151" s="2">
        <v>46056</v>
      </c>
      <c r="C151" t="s">
        <v>163</v>
      </c>
      <c r="D151" t="s">
        <v>177</v>
      </c>
      <c r="E151">
        <v>3</v>
      </c>
      <c r="F151">
        <v>44800</v>
      </c>
      <c r="G151" t="s">
        <v>206</v>
      </c>
      <c r="H151" t="s">
        <v>231</v>
      </c>
      <c r="I151" t="s">
        <v>236</v>
      </c>
      <c r="J151" t="s">
        <v>239</v>
      </c>
      <c r="K151">
        <v>134400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Sheet3</vt:lpstr>
      <vt:lpstr>Sheet4</vt:lpstr>
      <vt:lpstr>Sheet5</vt:lpstr>
      <vt:lpstr>Sheet7</vt:lpstr>
      <vt:lpstr>Sheet8</vt:lpstr>
      <vt:lpstr>Sheet9</vt:lpstr>
      <vt:lpstr>Sheet10</vt:lpstr>
      <vt:lpstr>Sheet11</vt:lpstr>
      <vt:lpstr>Sheet12</vt:lpstr>
      <vt:lpstr>Sheet13</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gayu</dc:creator>
  <cp:lastModifiedBy>Gayathri R</cp:lastModifiedBy>
  <dcterms:created xsi:type="dcterms:W3CDTF">2026-08-26T11:52:36Z</dcterms:created>
  <dcterms:modified xsi:type="dcterms:W3CDTF">2026-08-27T15:57:20Z</dcterms:modified>
</cp:coreProperties>
</file>